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BusyForcastRepo\BusyForcast\"/>
    </mc:Choice>
  </mc:AlternateContent>
  <xr:revisionPtr revIDLastSave="0" documentId="10_ncr:100000_{A5902DF6-9D4C-412E-B3FA-14C28A3D00C4}" xr6:coauthVersionLast="31" xr6:coauthVersionMax="31" xr10:uidLastSave="{00000000-0000-0000-0000-000000000000}"/>
  <bookViews>
    <workbookView xWindow="480" yWindow="45" windowWidth="14880" windowHeight="8100" tabRatio="515" activeTab="1" xr2:uid="{00000000-000D-0000-FFFF-FFFF00000000}"/>
  </bookViews>
  <sheets>
    <sheet name="Forecast" sheetId="1" r:id="rId1"/>
    <sheet name="Days" sheetId="11" r:id="rId2"/>
    <sheet name="Expenses" sheetId="3" r:id="rId3"/>
    <sheet name="Cashflow Graph" sheetId="9" r:id="rId4"/>
    <sheet name="Calculation" sheetId="8" r:id="rId5"/>
    <sheet name="Resource" sheetId="12" r:id="rId6"/>
    <sheet name="Picklists" sheetId="10" r:id="rId7"/>
  </sheets>
  <definedNames>
    <definedName name="_xlnm._FilterDatabase" localSheetId="0" hidden="1">Forecast!$B$38:$B$50</definedName>
    <definedName name="_xlnm.Print_Area" localSheetId="2">Expenses!$A$1:$BM$57</definedName>
    <definedName name="_xlnm.Print_Area" localSheetId="0">Forecast!$B$1:$BL$28</definedName>
  </definedNames>
  <calcPr calcId="179017"/>
</workbook>
</file>

<file path=xl/calcChain.xml><?xml version="1.0" encoding="utf-8"?>
<calcChain xmlns="http://schemas.openxmlformats.org/spreadsheetml/2006/main">
  <c r="A27" i="12" l="1"/>
  <c r="A101" i="12"/>
  <c r="A138" i="12"/>
  <c r="A37" i="12"/>
  <c r="A97" i="12"/>
  <c r="A95" i="12"/>
  <c r="A38" i="12"/>
  <c r="A145" i="12"/>
  <c r="A32" i="12"/>
  <c r="A74" i="12"/>
  <c r="A69" i="12"/>
  <c r="A80" i="12"/>
  <c r="A149" i="12"/>
  <c r="A59" i="12"/>
  <c r="A135" i="12"/>
  <c r="A52" i="12"/>
  <c r="A61" i="12"/>
  <c r="A8" i="12"/>
  <c r="A44" i="12"/>
  <c r="A140" i="12"/>
  <c r="A21" i="12"/>
  <c r="A141" i="12"/>
  <c r="A49" i="12"/>
  <c r="A126" i="12"/>
  <c r="A33" i="12"/>
  <c r="A45" i="12"/>
  <c r="A42" i="12"/>
  <c r="A106" i="12"/>
  <c r="A100" i="12"/>
  <c r="A104" i="12"/>
  <c r="A89" i="12"/>
  <c r="A65" i="12"/>
  <c r="A12" i="12"/>
  <c r="A39" i="12"/>
  <c r="A29" i="12"/>
  <c r="A112" i="12"/>
  <c r="A11" i="12"/>
  <c r="A147" i="12"/>
  <c r="A136" i="12"/>
  <c r="A66" i="12"/>
  <c r="A148" i="12"/>
  <c r="A13" i="12"/>
  <c r="A53" i="12"/>
  <c r="A72" i="12"/>
  <c r="A43" i="12"/>
  <c r="A15" i="12"/>
  <c r="A56" i="12"/>
  <c r="A128" i="12"/>
  <c r="A109" i="12"/>
  <c r="A123" i="12"/>
  <c r="A92" i="12"/>
  <c r="A58" i="12"/>
  <c r="A84" i="12"/>
  <c r="A81" i="12"/>
  <c r="A40" i="12"/>
  <c r="A118" i="12"/>
  <c r="A77" i="12"/>
  <c r="A79" i="12"/>
  <c r="A98" i="12"/>
  <c r="A51" i="12"/>
  <c r="A64" i="12"/>
  <c r="A150" i="12"/>
  <c r="A55" i="12"/>
  <c r="A143" i="12"/>
  <c r="A102" i="12"/>
  <c r="A82" i="12"/>
  <c r="A75" i="12"/>
  <c r="A16" i="12"/>
  <c r="A63" i="12"/>
  <c r="A121" i="12"/>
  <c r="A103" i="12"/>
  <c r="A87" i="12"/>
  <c r="A7" i="12"/>
  <c r="A86" i="12"/>
  <c r="A20" i="12"/>
  <c r="A142" i="12"/>
  <c r="A76" i="12"/>
  <c r="A117" i="12"/>
  <c r="A144" i="12"/>
  <c r="A124" i="12"/>
  <c r="A9" i="12"/>
  <c r="A139" i="12"/>
  <c r="A93" i="12"/>
  <c r="A91" i="12"/>
  <c r="A110" i="12"/>
  <c r="A6" i="12"/>
  <c r="A22" i="12"/>
  <c r="A54" i="12"/>
  <c r="A60" i="12"/>
  <c r="A14" i="12"/>
  <c r="A47" i="12"/>
  <c r="A111" i="12"/>
  <c r="A18" i="12"/>
  <c r="A67" i="12"/>
  <c r="A115" i="12"/>
  <c r="A34" i="12"/>
  <c r="A57" i="12"/>
  <c r="A108" i="12"/>
  <c r="A71" i="12"/>
  <c r="A23" i="12"/>
  <c r="A134" i="12"/>
  <c r="A83" i="12"/>
  <c r="A68" i="12"/>
  <c r="A99" i="12"/>
  <c r="A5" i="12"/>
  <c r="A122" i="12"/>
  <c r="A94" i="12"/>
  <c r="A116" i="12"/>
  <c r="A4" i="12"/>
  <c r="A85" i="12"/>
  <c r="A137" i="12"/>
  <c r="A133" i="12"/>
  <c r="A146" i="12"/>
  <c r="A125" i="12"/>
  <c r="A90" i="12"/>
  <c r="A50" i="12"/>
  <c r="A10" i="12"/>
  <c r="A129" i="12"/>
  <c r="A30" i="12"/>
  <c r="A153" i="12"/>
  <c r="A127" i="12"/>
  <c r="A130" i="12"/>
  <c r="A78" i="12"/>
  <c r="A35" i="12"/>
  <c r="A62" i="12"/>
  <c r="A113" i="12"/>
  <c r="A41" i="12"/>
  <c r="A114" i="12"/>
  <c r="A70" i="12"/>
  <c r="A131" i="12"/>
  <c r="A31" i="12"/>
  <c r="A19" i="12"/>
  <c r="A105" i="12"/>
  <c r="A119" i="12"/>
  <c r="A46" i="12"/>
  <c r="A26" i="12"/>
  <c r="A28" i="12"/>
  <c r="A96" i="12"/>
  <c r="A120" i="12"/>
  <c r="A152" i="12"/>
  <c r="A73" i="12"/>
  <c r="A151" i="12"/>
  <c r="A36" i="12"/>
  <c r="A107" i="12"/>
  <c r="A132" i="12"/>
  <c r="A88" i="12"/>
  <c r="A25" i="12"/>
  <c r="A24" i="12"/>
  <c r="A17" i="12"/>
  <c r="A3" i="12"/>
  <c r="A2" i="12"/>
  <c r="C12" i="11" s="1"/>
  <c r="A48" i="12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13" i="11"/>
  <c r="Q12" i="11"/>
  <c r="F41" i="11" l="1"/>
  <c r="F39" i="11"/>
  <c r="F37" i="11"/>
  <c r="F35" i="11"/>
  <c r="F33" i="11"/>
  <c r="F31" i="11"/>
  <c r="F29" i="11"/>
  <c r="F27" i="11"/>
  <c r="F25" i="11"/>
  <c r="F23" i="11"/>
  <c r="F21" i="11"/>
  <c r="F19" i="11"/>
  <c r="F17" i="11"/>
  <c r="F15" i="11"/>
  <c r="F13" i="11"/>
  <c r="E41" i="11"/>
  <c r="E39" i="11"/>
  <c r="E37" i="11"/>
  <c r="E35" i="11"/>
  <c r="E33" i="11"/>
  <c r="E31" i="11"/>
  <c r="E29" i="11"/>
  <c r="E27" i="11"/>
  <c r="E25" i="11"/>
  <c r="E23" i="11"/>
  <c r="E21" i="11"/>
  <c r="E19" i="11"/>
  <c r="E17" i="11"/>
  <c r="E15" i="11"/>
  <c r="E13" i="11"/>
  <c r="D41" i="11"/>
  <c r="D39" i="11"/>
  <c r="D37" i="11"/>
  <c r="D35" i="11"/>
  <c r="D33" i="11"/>
  <c r="D31" i="11"/>
  <c r="D29" i="11"/>
  <c r="D27" i="11"/>
  <c r="D25" i="11"/>
  <c r="D23" i="11"/>
  <c r="D21" i="11"/>
  <c r="D19" i="11"/>
  <c r="D17" i="11"/>
  <c r="D15" i="11"/>
  <c r="D13" i="11"/>
  <c r="C41" i="11"/>
  <c r="C39" i="11"/>
  <c r="C37" i="11"/>
  <c r="C35" i="11"/>
  <c r="C33" i="11"/>
  <c r="C31" i="11"/>
  <c r="C29" i="11"/>
  <c r="C27" i="11"/>
  <c r="C25" i="11"/>
  <c r="C23" i="11"/>
  <c r="C21" i="11"/>
  <c r="C19" i="11"/>
  <c r="C17" i="11"/>
  <c r="C15" i="11"/>
  <c r="C13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2" i="11"/>
  <c r="E40" i="11"/>
  <c r="E38" i="11"/>
  <c r="E36" i="11"/>
  <c r="E34" i="11"/>
  <c r="E32" i="11"/>
  <c r="E30" i="11"/>
  <c r="E28" i="11"/>
  <c r="E26" i="11"/>
  <c r="E24" i="11"/>
  <c r="E22" i="11"/>
  <c r="E20" i="11"/>
  <c r="E18" i="11"/>
  <c r="E16" i="11"/>
  <c r="E14" i="11"/>
  <c r="E12" i="11"/>
  <c r="D40" i="11"/>
  <c r="D38" i="11"/>
  <c r="D36" i="11"/>
  <c r="D34" i="11"/>
  <c r="D32" i="11"/>
  <c r="D30" i="11"/>
  <c r="D28" i="11"/>
  <c r="D26" i="11"/>
  <c r="D24" i="11"/>
  <c r="D22" i="11"/>
  <c r="D20" i="11"/>
  <c r="D18" i="11"/>
  <c r="D16" i="11"/>
  <c r="D14" i="11"/>
  <c r="D12" i="11"/>
  <c r="C40" i="11"/>
  <c r="C38" i="11"/>
  <c r="C36" i="11"/>
  <c r="C34" i="11"/>
  <c r="C32" i="11"/>
  <c r="C30" i="11"/>
  <c r="C28" i="11"/>
  <c r="C26" i="11"/>
  <c r="C24" i="11"/>
  <c r="C22" i="11"/>
  <c r="C20" i="11"/>
  <c r="C18" i="11"/>
  <c r="C16" i="11"/>
  <c r="C14" i="11"/>
  <c r="E17" i="1" l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C17" i="1" l="1"/>
  <c r="R10" i="11" l="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E4" i="11"/>
  <c r="C4" i="11"/>
  <c r="E3" i="11"/>
  <c r="C3" i="11"/>
  <c r="H62" i="11"/>
  <c r="P62" i="11" s="1"/>
  <c r="H61" i="11"/>
  <c r="P61" i="11" s="1"/>
  <c r="H60" i="11"/>
  <c r="P60" i="11" s="1"/>
  <c r="H59" i="11"/>
  <c r="P59" i="11" s="1"/>
  <c r="H58" i="11"/>
  <c r="P58" i="11" s="1"/>
  <c r="H57" i="11"/>
  <c r="P57" i="11" s="1"/>
  <c r="H56" i="11"/>
  <c r="P56" i="11" s="1"/>
  <c r="H55" i="11"/>
  <c r="P55" i="11" s="1"/>
  <c r="H54" i="11"/>
  <c r="P54" i="11" s="1"/>
  <c r="H53" i="11"/>
  <c r="P53" i="11" s="1"/>
  <c r="H52" i="11"/>
  <c r="P52" i="11" s="1"/>
  <c r="H51" i="11"/>
  <c r="P51" i="11" s="1"/>
  <c r="H50" i="11"/>
  <c r="P50" i="11" s="1"/>
  <c r="H49" i="11"/>
  <c r="P49" i="11" s="1"/>
  <c r="H48" i="11"/>
  <c r="P48" i="11" s="1"/>
  <c r="H47" i="11"/>
  <c r="P47" i="11" s="1"/>
  <c r="H46" i="11"/>
  <c r="P46" i="11" s="1"/>
  <c r="H45" i="11"/>
  <c r="P45" i="11" s="1"/>
  <c r="H44" i="11"/>
  <c r="P44" i="11" s="1"/>
  <c r="H43" i="11"/>
  <c r="P43" i="11" s="1"/>
  <c r="H41" i="11"/>
  <c r="P41" i="11" s="1"/>
  <c r="H40" i="11"/>
  <c r="P40" i="11" s="1"/>
  <c r="H39" i="11"/>
  <c r="P39" i="11" s="1"/>
  <c r="H38" i="11"/>
  <c r="P38" i="11" s="1"/>
  <c r="H37" i="11"/>
  <c r="P37" i="11" s="1"/>
  <c r="H36" i="11"/>
  <c r="P36" i="11" s="1"/>
  <c r="H35" i="11"/>
  <c r="P35" i="11" s="1"/>
  <c r="H34" i="11"/>
  <c r="P34" i="11" s="1"/>
  <c r="H33" i="11"/>
  <c r="P33" i="11" s="1"/>
  <c r="H32" i="11"/>
  <c r="P32" i="11" s="1"/>
  <c r="H31" i="11"/>
  <c r="P31" i="11" s="1"/>
  <c r="H30" i="11"/>
  <c r="P30" i="11" s="1"/>
  <c r="H29" i="11"/>
  <c r="P29" i="11" s="1"/>
  <c r="H28" i="11"/>
  <c r="P28" i="11" s="1"/>
  <c r="H27" i="11"/>
  <c r="P27" i="11" s="1"/>
  <c r="H26" i="11"/>
  <c r="P26" i="11" s="1"/>
  <c r="H25" i="11"/>
  <c r="P25" i="11" s="1"/>
  <c r="H24" i="11"/>
  <c r="P24" i="11" s="1"/>
  <c r="H23" i="11"/>
  <c r="P23" i="11" s="1"/>
  <c r="H22" i="11"/>
  <c r="P22" i="11" s="1"/>
  <c r="H21" i="11"/>
  <c r="P21" i="11" s="1"/>
  <c r="H20" i="11"/>
  <c r="P20" i="11" s="1"/>
  <c r="H19" i="11"/>
  <c r="P19" i="11" s="1"/>
  <c r="H18" i="11"/>
  <c r="P18" i="11" s="1"/>
  <c r="H17" i="11"/>
  <c r="P17" i="11" s="1"/>
  <c r="H16" i="11"/>
  <c r="P16" i="11" s="1"/>
  <c r="H15" i="11"/>
  <c r="P15" i="11" s="1"/>
  <c r="H14" i="11"/>
  <c r="P14" i="11" s="1"/>
  <c r="H13" i="11"/>
  <c r="P13" i="11" s="1"/>
  <c r="H12" i="11"/>
  <c r="P12" i="11" s="1"/>
  <c r="BA63" i="11" l="1"/>
  <c r="V63" i="11"/>
  <c r="I15" i="1" s="1"/>
  <c r="AC63" i="11"/>
  <c r="P15" i="1" s="1"/>
  <c r="BX63" i="11"/>
  <c r="BK15" i="1" s="1"/>
  <c r="BP63" i="11"/>
  <c r="BC15" i="1" s="1"/>
  <c r="BH63" i="11"/>
  <c r="AU15" i="1" s="1"/>
  <c r="AZ63" i="11"/>
  <c r="AM15" i="1" s="1"/>
  <c r="AR63" i="11"/>
  <c r="AE15" i="1" s="1"/>
  <c r="AJ63" i="11"/>
  <c r="W15" i="1" s="1"/>
  <c r="AB63" i="11"/>
  <c r="O15" i="1" s="1"/>
  <c r="T63" i="11"/>
  <c r="G15" i="1" s="1"/>
  <c r="BI63" i="11"/>
  <c r="AV15" i="1" s="1"/>
  <c r="BW63" i="11"/>
  <c r="BJ15" i="1" s="1"/>
  <c r="BO63" i="11"/>
  <c r="BB15" i="1" s="1"/>
  <c r="BG63" i="11"/>
  <c r="AT15" i="1" s="1"/>
  <c r="AY63" i="11"/>
  <c r="AL15" i="1" s="1"/>
  <c r="AQ63" i="11"/>
  <c r="AD15" i="1" s="1"/>
  <c r="AI63" i="11"/>
  <c r="V15" i="1" s="1"/>
  <c r="AA63" i="11"/>
  <c r="N15" i="1" s="1"/>
  <c r="S63" i="11"/>
  <c r="F15" i="1" s="1"/>
  <c r="AS63" i="11"/>
  <c r="AF15" i="1" s="1"/>
  <c r="BV63" i="11"/>
  <c r="BI15" i="1" s="1"/>
  <c r="BN63" i="11"/>
  <c r="BA15" i="1" s="1"/>
  <c r="BF63" i="11"/>
  <c r="AS15" i="1" s="1"/>
  <c r="AX63" i="11"/>
  <c r="AK15" i="1" s="1"/>
  <c r="AP63" i="11"/>
  <c r="AC15" i="1" s="1"/>
  <c r="AH63" i="11"/>
  <c r="U15" i="1" s="1"/>
  <c r="Z63" i="11"/>
  <c r="M15" i="1" s="1"/>
  <c r="AK63" i="11"/>
  <c r="X15" i="1" s="1"/>
  <c r="BU63" i="11"/>
  <c r="BH15" i="1" s="1"/>
  <c r="BM63" i="11"/>
  <c r="AZ15" i="1" s="1"/>
  <c r="BE63" i="11"/>
  <c r="AR15" i="1" s="1"/>
  <c r="AW63" i="11"/>
  <c r="AJ15" i="1" s="1"/>
  <c r="AO63" i="11"/>
  <c r="AB15" i="1" s="1"/>
  <c r="AG63" i="11"/>
  <c r="T15" i="1" s="1"/>
  <c r="Y63" i="11"/>
  <c r="L15" i="1" s="1"/>
  <c r="BY63" i="11"/>
  <c r="BL15" i="1" s="1"/>
  <c r="BQ63" i="11"/>
  <c r="BD15" i="1" s="1"/>
  <c r="BT63" i="11"/>
  <c r="BG15" i="1" s="1"/>
  <c r="BL63" i="11"/>
  <c r="AY15" i="1" s="1"/>
  <c r="BD63" i="11"/>
  <c r="AQ15" i="1" s="1"/>
  <c r="AV63" i="11"/>
  <c r="AI15" i="1" s="1"/>
  <c r="AN63" i="11"/>
  <c r="AA15" i="1" s="1"/>
  <c r="AF63" i="11"/>
  <c r="S15" i="1" s="1"/>
  <c r="X63" i="11"/>
  <c r="K15" i="1" s="1"/>
  <c r="U63" i="11"/>
  <c r="H15" i="1" s="1"/>
  <c r="BS63" i="11"/>
  <c r="BF15" i="1" s="1"/>
  <c r="BK63" i="11"/>
  <c r="AX15" i="1" s="1"/>
  <c r="BC63" i="11"/>
  <c r="AP15" i="1" s="1"/>
  <c r="AU63" i="11"/>
  <c r="AH15" i="1" s="1"/>
  <c r="AM63" i="11"/>
  <c r="Z15" i="1" s="1"/>
  <c r="AE63" i="11"/>
  <c r="R15" i="1" s="1"/>
  <c r="W63" i="11"/>
  <c r="J15" i="1" s="1"/>
  <c r="R63" i="11"/>
  <c r="E15" i="1" s="1"/>
  <c r="BR63" i="11"/>
  <c r="BE15" i="1" s="1"/>
  <c r="BJ63" i="11"/>
  <c r="AW15" i="1" s="1"/>
  <c r="BB63" i="11"/>
  <c r="AO15" i="1" s="1"/>
  <c r="AT63" i="11"/>
  <c r="AG15" i="1" s="1"/>
  <c r="AL63" i="11"/>
  <c r="Y15" i="1" s="1"/>
  <c r="AD63" i="11"/>
  <c r="Q15" i="1" s="1"/>
  <c r="BA64" i="11" l="1"/>
  <c r="AN16" i="1" s="1"/>
  <c r="AN15" i="1"/>
  <c r="BU64" i="11"/>
  <c r="BH16" i="1" s="1"/>
  <c r="U64" i="11"/>
  <c r="H16" i="1" s="1"/>
  <c r="BS64" i="11"/>
  <c r="BF16" i="1" s="1"/>
  <c r="Z64" i="11"/>
  <c r="M16" i="1" s="1"/>
  <c r="AJ64" i="11"/>
  <c r="W16" i="1" s="1"/>
  <c r="BW64" i="11"/>
  <c r="BJ16" i="1" s="1"/>
  <c r="AP64" i="11"/>
  <c r="AC16" i="1" s="1"/>
  <c r="BG64" i="11"/>
  <c r="AT16" i="1" s="1"/>
  <c r="BH64" i="11"/>
  <c r="AU16" i="1" s="1"/>
  <c r="BJ64" i="11"/>
  <c r="AW16" i="1" s="1"/>
  <c r="S64" i="11"/>
  <c r="F16" i="1" s="1"/>
  <c r="BY64" i="11"/>
  <c r="BL16" i="1" s="1"/>
  <c r="AZ64" i="11"/>
  <c r="AM16" i="1" s="1"/>
  <c r="BV64" i="11"/>
  <c r="BI16" i="1" s="1"/>
  <c r="BR64" i="11"/>
  <c r="BE16" i="1" s="1"/>
  <c r="AX64" i="11"/>
  <c r="AK16" i="1" s="1"/>
  <c r="AF64" i="11"/>
  <c r="S16" i="1" s="1"/>
  <c r="AG64" i="11"/>
  <c r="T16" i="1" s="1"/>
  <c r="AI64" i="11"/>
  <c r="V16" i="1" s="1"/>
  <c r="AY64" i="11"/>
  <c r="AL16" i="1" s="1"/>
  <c r="R64" i="11"/>
  <c r="E16" i="1" s="1"/>
  <c r="Y64" i="11"/>
  <c r="L16" i="1" s="1"/>
  <c r="BQ64" i="11"/>
  <c r="BD16" i="1" s="1"/>
  <c r="AO64" i="11"/>
  <c r="AB16" i="1" s="1"/>
  <c r="BF64" i="11"/>
  <c r="AS16" i="1" s="1"/>
  <c r="W64" i="11"/>
  <c r="J16" i="1" s="1"/>
  <c r="AH64" i="11"/>
  <c r="U16" i="1" s="1"/>
  <c r="AN64" i="11"/>
  <c r="AA16" i="1" s="1"/>
  <c r="BT64" i="11"/>
  <c r="BG16" i="1" s="1"/>
  <c r="AW64" i="11"/>
  <c r="AJ16" i="1" s="1"/>
  <c r="AB64" i="11"/>
  <c r="O16" i="1" s="1"/>
  <c r="V64" i="11"/>
  <c r="AM64" i="11"/>
  <c r="Z16" i="1" s="1"/>
  <c r="AV64" i="11"/>
  <c r="AI16" i="1" s="1"/>
  <c r="BE64" i="11"/>
  <c r="AR16" i="1" s="1"/>
  <c r="BN64" i="11"/>
  <c r="BA16" i="1" s="1"/>
  <c r="BX64" i="11"/>
  <c r="BK16" i="1" s="1"/>
  <c r="BO64" i="11"/>
  <c r="BB16" i="1" s="1"/>
  <c r="BA66" i="11"/>
  <c r="BP64" i="11"/>
  <c r="BC16" i="1" s="1"/>
  <c r="AS64" i="11"/>
  <c r="AF16" i="1" s="1"/>
  <c r="T64" i="11"/>
  <c r="G16" i="1" s="1"/>
  <c r="AC64" i="11"/>
  <c r="P16" i="1" s="1"/>
  <c r="AU64" i="11"/>
  <c r="AH16" i="1" s="1"/>
  <c r="BD64" i="11"/>
  <c r="AQ16" i="1" s="1"/>
  <c r="AD64" i="11"/>
  <c r="Q16" i="1" s="1"/>
  <c r="BL64" i="11"/>
  <c r="AY16" i="1" s="1"/>
  <c r="BM64" i="11"/>
  <c r="AZ16" i="1" s="1"/>
  <c r="AL64" i="11"/>
  <c r="Y16" i="1" s="1"/>
  <c r="AE64" i="11"/>
  <c r="R16" i="1" s="1"/>
  <c r="AA64" i="11"/>
  <c r="N16" i="1" s="1"/>
  <c r="X64" i="11"/>
  <c r="K16" i="1" s="1"/>
  <c r="BC64" i="11"/>
  <c r="AP16" i="1" s="1"/>
  <c r="AK64" i="11"/>
  <c r="X16" i="1" s="1"/>
  <c r="BI64" i="11"/>
  <c r="AV16" i="1" s="1"/>
  <c r="AQ64" i="11"/>
  <c r="AD16" i="1" s="1"/>
  <c r="AR64" i="11"/>
  <c r="AE16" i="1" s="1"/>
  <c r="AT64" i="11"/>
  <c r="AG16" i="1" s="1"/>
  <c r="BK64" i="11"/>
  <c r="AX16" i="1" s="1"/>
  <c r="BB64" i="11"/>
  <c r="AO16" i="1" s="1"/>
  <c r="V66" i="11" l="1"/>
  <c r="I16" i="1"/>
  <c r="AB66" i="11"/>
  <c r="BU66" i="11"/>
  <c r="BT66" i="11"/>
  <c r="BS66" i="11"/>
  <c r="Y66" i="11"/>
  <c r="BD66" i="11"/>
  <c r="BE66" i="11"/>
  <c r="AO66" i="11"/>
  <c r="BY66" i="11"/>
  <c r="AW66" i="11"/>
  <c r="BF66" i="11"/>
  <c r="AF66" i="11"/>
  <c r="BH66" i="11"/>
  <c r="R66" i="11"/>
  <c r="U66" i="11"/>
  <c r="T66" i="11"/>
  <c r="AT66" i="11"/>
  <c r="AK66" i="11"/>
  <c r="BM66" i="11"/>
  <c r="AC66" i="11"/>
  <c r="W66" i="11"/>
  <c r="BQ66" i="11"/>
  <c r="BG66" i="11"/>
  <c r="Z66" i="11"/>
  <c r="AR66" i="11"/>
  <c r="AY66" i="11"/>
  <c r="BV66" i="11"/>
  <c r="AP66" i="11"/>
  <c r="BO66" i="11"/>
  <c r="AZ66" i="11"/>
  <c r="BJ66" i="11"/>
  <c r="BI66" i="11"/>
  <c r="X66" i="11"/>
  <c r="BC66" i="11"/>
  <c r="BL66" i="11"/>
  <c r="BX66" i="11"/>
  <c r="AI66" i="11"/>
  <c r="BW66" i="11"/>
  <c r="AA66" i="11"/>
  <c r="AE66" i="11"/>
  <c r="AL66" i="11"/>
  <c r="AD66" i="11"/>
  <c r="AU66" i="11"/>
  <c r="AV66" i="11"/>
  <c r="AN66" i="11"/>
  <c r="AX66" i="11"/>
  <c r="AJ66" i="11"/>
  <c r="BP66" i="11"/>
  <c r="AM66" i="11"/>
  <c r="S66" i="11"/>
  <c r="AQ66" i="11"/>
  <c r="AS66" i="11"/>
  <c r="BN66" i="11"/>
  <c r="AH66" i="11"/>
  <c r="AG66" i="11"/>
  <c r="BK66" i="11"/>
  <c r="BR66" i="11"/>
  <c r="BB66" i="11"/>
  <c r="F56" i="3"/>
  <c r="E13" i="1"/>
  <c r="D19" i="1" l="1"/>
  <c r="D20" i="1"/>
  <c r="BF7" i="3" l="1"/>
  <c r="BG7" i="3"/>
  <c r="BH7" i="3"/>
  <c r="BI7" i="3"/>
  <c r="BJ7" i="3"/>
  <c r="BK7" i="3"/>
  <c r="BL7" i="3"/>
  <c r="BM7" i="3"/>
  <c r="D24" i="1" l="1"/>
  <c r="E14" i="1"/>
  <c r="F14" i="1" s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F19" i="3"/>
  <c r="F38" i="3"/>
  <c r="G19" i="3"/>
  <c r="H19" i="3"/>
  <c r="I19" i="3"/>
  <c r="J19" i="3"/>
  <c r="K19" i="3"/>
  <c r="L19" i="3"/>
  <c r="M19" i="3"/>
  <c r="N19" i="3"/>
  <c r="O19" i="3"/>
  <c r="P19" i="3"/>
  <c r="D3" i="3"/>
  <c r="D14" i="3"/>
  <c r="D9" i="3"/>
  <c r="D49" i="3"/>
  <c r="D31" i="3"/>
  <c r="D10" i="3"/>
  <c r="D11" i="3"/>
  <c r="D12" i="3"/>
  <c r="D13" i="3"/>
  <c r="D15" i="3"/>
  <c r="D16" i="3"/>
  <c r="D17" i="3"/>
  <c r="D18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F25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M19" i="3"/>
  <c r="D4" i="3"/>
  <c r="H4" i="3"/>
  <c r="H3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C9" i="1"/>
  <c r="E11" i="1"/>
  <c r="F11" i="1" s="1"/>
  <c r="F12" i="1" s="1"/>
  <c r="D11" i="1"/>
  <c r="D12" i="1" s="1"/>
  <c r="D20" i="3"/>
  <c r="D21" i="3"/>
  <c r="D22" i="3"/>
  <c r="D23" i="3"/>
  <c r="D24" i="3"/>
  <c r="D26" i="3"/>
  <c r="D27" i="3"/>
  <c r="D28" i="3"/>
  <c r="D29" i="3"/>
  <c r="D30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50" i="3"/>
  <c r="D51" i="3"/>
  <c r="D53" i="3"/>
  <c r="D54" i="3"/>
  <c r="D55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M56" i="3"/>
  <c r="BM56" i="3"/>
  <c r="AS56" i="3"/>
  <c r="AT56" i="3"/>
  <c r="AG56" i="3"/>
  <c r="AO56" i="3"/>
  <c r="AC56" i="3"/>
  <c r="AQ56" i="3"/>
  <c r="AL56" i="3"/>
  <c r="BD56" i="3"/>
  <c r="AU56" i="3"/>
  <c r="BG56" i="3"/>
  <c r="AF56" i="3"/>
  <c r="AZ56" i="3"/>
  <c r="AJ56" i="3"/>
  <c r="AD56" i="3"/>
  <c r="AR56" i="3"/>
  <c r="AW56" i="3"/>
  <c r="BH56" i="3"/>
  <c r="BC56" i="3"/>
  <c r="AE56" i="3"/>
  <c r="BF56" i="3"/>
  <c r="BI56" i="3"/>
  <c r="AP56" i="3"/>
  <c r="AH56" i="3"/>
  <c r="BB56" i="3"/>
  <c r="BA56" i="3"/>
  <c r="AV56" i="3"/>
  <c r="BE56" i="3"/>
  <c r="BL56" i="3"/>
  <c r="BK56" i="3"/>
  <c r="AX56" i="3"/>
  <c r="BJ56" i="3"/>
  <c r="AI56" i="3"/>
  <c r="AY56" i="3"/>
  <c r="AN56" i="3"/>
  <c r="AK56" i="3"/>
  <c r="AB56" i="3"/>
  <c r="C15" i="1" l="1"/>
  <c r="BA57" i="3"/>
  <c r="AZ21" i="1" s="1"/>
  <c r="F57" i="3"/>
  <c r="E21" i="1" s="1"/>
  <c r="AI57" i="3"/>
  <c r="AH21" i="1" s="1"/>
  <c r="BI57" i="3"/>
  <c r="BH21" i="1" s="1"/>
  <c r="N57" i="3"/>
  <c r="M21" i="1" s="1"/>
  <c r="AZ57" i="3"/>
  <c r="AY21" i="1" s="1"/>
  <c r="AO57" i="3"/>
  <c r="AN21" i="1" s="1"/>
  <c r="M57" i="3"/>
  <c r="L21" i="1" s="1"/>
  <c r="BE57" i="3"/>
  <c r="BD21" i="1" s="1"/>
  <c r="AS57" i="3"/>
  <c r="AR21" i="1" s="1"/>
  <c r="J57" i="3"/>
  <c r="I21" i="1" s="1"/>
  <c r="AW57" i="3"/>
  <c r="AV21" i="1" s="1"/>
  <c r="BD57" i="3"/>
  <c r="BC21" i="1" s="1"/>
  <c r="BM57" i="3"/>
  <c r="BL21" i="1" s="1"/>
  <c r="U57" i="3"/>
  <c r="T21" i="1" s="1"/>
  <c r="BK57" i="3"/>
  <c r="BJ21" i="1" s="1"/>
  <c r="AH57" i="3"/>
  <c r="AG21" i="1" s="1"/>
  <c r="AE57" i="3"/>
  <c r="AD21" i="1" s="1"/>
  <c r="T57" i="3"/>
  <c r="S21" i="1" s="1"/>
  <c r="P57" i="3"/>
  <c r="O21" i="1" s="1"/>
  <c r="L57" i="3"/>
  <c r="K21" i="1" s="1"/>
  <c r="BH57" i="3"/>
  <c r="BG21" i="1" s="1"/>
  <c r="X57" i="3"/>
  <c r="W21" i="1" s="1"/>
  <c r="BJ57" i="3"/>
  <c r="BI21" i="1" s="1"/>
  <c r="AN57" i="3"/>
  <c r="AM21" i="1" s="1"/>
  <c r="Z57" i="3"/>
  <c r="Y21" i="1" s="1"/>
  <c r="AB57" i="3"/>
  <c r="AA21" i="1" s="1"/>
  <c r="AY57" i="3"/>
  <c r="AX21" i="1" s="1"/>
  <c r="AX57" i="3"/>
  <c r="AW21" i="1" s="1"/>
  <c r="AV57" i="3"/>
  <c r="AU21" i="1" s="1"/>
  <c r="BF57" i="3"/>
  <c r="BE21" i="1" s="1"/>
  <c r="AJ57" i="3"/>
  <c r="AI21" i="1" s="1"/>
  <c r="AU57" i="3"/>
  <c r="AT21" i="1" s="1"/>
  <c r="BL57" i="3"/>
  <c r="BK21" i="1" s="1"/>
  <c r="AP57" i="3"/>
  <c r="AO21" i="1" s="1"/>
  <c r="BC57" i="3"/>
  <c r="BB21" i="1" s="1"/>
  <c r="AR57" i="3"/>
  <c r="AQ21" i="1" s="1"/>
  <c r="AF57" i="3"/>
  <c r="AE21" i="1" s="1"/>
  <c r="AL57" i="3"/>
  <c r="AK21" i="1" s="1"/>
  <c r="AG57" i="3"/>
  <c r="AF21" i="1" s="1"/>
  <c r="AM57" i="3"/>
  <c r="AL21" i="1" s="1"/>
  <c r="Y57" i="3"/>
  <c r="X21" i="1" s="1"/>
  <c r="V57" i="3"/>
  <c r="U21" i="1" s="1"/>
  <c r="K57" i="3"/>
  <c r="J21" i="1" s="1"/>
  <c r="BB57" i="3"/>
  <c r="BA21" i="1" s="1"/>
  <c r="AD57" i="3"/>
  <c r="AC21" i="1" s="1"/>
  <c r="BG57" i="3"/>
  <c r="BF21" i="1" s="1"/>
  <c r="AT57" i="3"/>
  <c r="AS21" i="1" s="1"/>
  <c r="R57" i="3"/>
  <c r="Q21" i="1" s="1"/>
  <c r="D25" i="3"/>
  <c r="AQ57" i="3"/>
  <c r="AP21" i="1" s="1"/>
  <c r="H57" i="3"/>
  <c r="G21" i="1" s="1"/>
  <c r="AK57" i="3"/>
  <c r="AJ21" i="1" s="1"/>
  <c r="AC57" i="3"/>
  <c r="AB21" i="1" s="1"/>
  <c r="AA57" i="3"/>
  <c r="Z21" i="1" s="1"/>
  <c r="W57" i="3"/>
  <c r="V21" i="1" s="1"/>
  <c r="S57" i="3"/>
  <c r="R21" i="1" s="1"/>
  <c r="O57" i="3"/>
  <c r="N21" i="1" s="1"/>
  <c r="Q57" i="3"/>
  <c r="P21" i="1" s="1"/>
  <c r="I57" i="3"/>
  <c r="H21" i="1" s="1"/>
  <c r="G57" i="3"/>
  <c r="F21" i="1" s="1"/>
  <c r="D19" i="3"/>
  <c r="D26" i="1"/>
  <c r="D27" i="1" s="1"/>
  <c r="D28" i="1"/>
  <c r="E12" i="1"/>
  <c r="C10" i="1"/>
  <c r="G11" i="1"/>
  <c r="G14" i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D38" i="3"/>
  <c r="C11" i="1" l="1"/>
  <c r="C12" i="1" s="1"/>
  <c r="G12" i="1"/>
  <c r="H11" i="1"/>
  <c r="C16" i="1" l="1"/>
  <c r="H12" i="1"/>
  <c r="I11" i="1"/>
  <c r="AB18" i="1" l="1"/>
  <c r="AB19" i="1" s="1"/>
  <c r="AL18" i="1"/>
  <c r="AL19" i="1" s="1"/>
  <c r="AO22" i="1"/>
  <c r="AO23" i="1" s="1"/>
  <c r="AZ22" i="1"/>
  <c r="AZ23" i="1" s="1"/>
  <c r="AR18" i="1"/>
  <c r="AR19" i="1" s="1"/>
  <c r="AN18" i="1"/>
  <c r="AN19" i="1" s="1"/>
  <c r="P18" i="1"/>
  <c r="P19" i="1" s="1"/>
  <c r="AR22" i="1"/>
  <c r="AR23" i="1" s="1"/>
  <c r="X22" i="1"/>
  <c r="X23" i="1" s="1"/>
  <c r="I23" i="1"/>
  <c r="AC22" i="1"/>
  <c r="AC23" i="1" s="1"/>
  <c r="T18" i="1"/>
  <c r="T19" i="1" s="1"/>
  <c r="G22" i="1"/>
  <c r="G23" i="1" s="1"/>
  <c r="AO18" i="1"/>
  <c r="AO19" i="1" s="1"/>
  <c r="AX22" i="1"/>
  <c r="AX23" i="1" s="1"/>
  <c r="BD18" i="1"/>
  <c r="BD19" i="1" s="1"/>
  <c r="O18" i="1"/>
  <c r="O19" i="1" s="1"/>
  <c r="BA22" i="1"/>
  <c r="BA23" i="1" s="1"/>
  <c r="G18" i="1"/>
  <c r="G19" i="1" s="1"/>
  <c r="R18" i="1"/>
  <c r="R19" i="1" s="1"/>
  <c r="AY18" i="1"/>
  <c r="AY19" i="1" s="1"/>
  <c r="BE22" i="1"/>
  <c r="BE23" i="1" s="1"/>
  <c r="Q22" i="1"/>
  <c r="Q23" i="1" s="1"/>
  <c r="BA18" i="1"/>
  <c r="BA19" i="1" s="1"/>
  <c r="AE22" i="1"/>
  <c r="AE23" i="1" s="1"/>
  <c r="AE18" i="1"/>
  <c r="AE19" i="1" s="1"/>
  <c r="J18" i="1"/>
  <c r="J19" i="1" s="1"/>
  <c r="J22" i="1"/>
  <c r="J23" i="1" s="1"/>
  <c r="O22" i="1"/>
  <c r="O23" i="1" s="1"/>
  <c r="AX18" i="1"/>
  <c r="AX19" i="1" s="1"/>
  <c r="BI18" i="1"/>
  <c r="BI19" i="1" s="1"/>
  <c r="W18" i="1"/>
  <c r="W19" i="1" s="1"/>
  <c r="M18" i="1"/>
  <c r="M19" i="1" s="1"/>
  <c r="AY22" i="1"/>
  <c r="AY23" i="1" s="1"/>
  <c r="AI18" i="1"/>
  <c r="AI19" i="1" s="1"/>
  <c r="BH22" i="1"/>
  <c r="BH23" i="1" s="1"/>
  <c r="BD22" i="1"/>
  <c r="BD23" i="1" s="1"/>
  <c r="BI22" i="1"/>
  <c r="BI23" i="1" s="1"/>
  <c r="BE18" i="1"/>
  <c r="BE19" i="1" s="1"/>
  <c r="BJ18" i="1"/>
  <c r="BJ19" i="1" s="1"/>
  <c r="BJ22" i="1"/>
  <c r="BJ23" i="1" s="1"/>
  <c r="AI22" i="1"/>
  <c r="AI23" i="1" s="1"/>
  <c r="AL22" i="1"/>
  <c r="AL23" i="1" s="1"/>
  <c r="AM18" i="1"/>
  <c r="AM19" i="1" s="1"/>
  <c r="AB22" i="1"/>
  <c r="AB23" i="1" s="1"/>
  <c r="W22" i="1"/>
  <c r="W23" i="1" s="1"/>
  <c r="R22" i="1"/>
  <c r="R23" i="1" s="1"/>
  <c r="T22" i="1"/>
  <c r="T23" i="1" s="1"/>
  <c r="AA18" i="1"/>
  <c r="AA19" i="1" s="1"/>
  <c r="M22" i="1"/>
  <c r="M23" i="1" s="1"/>
  <c r="H22" i="1"/>
  <c r="H23" i="1" s="1"/>
  <c r="H18" i="1"/>
  <c r="H19" i="1" s="1"/>
  <c r="P22" i="1"/>
  <c r="P23" i="1" s="1"/>
  <c r="AU18" i="1"/>
  <c r="AU19" i="1" s="1"/>
  <c r="AU22" i="1"/>
  <c r="AU23" i="1" s="1"/>
  <c r="Q18" i="1"/>
  <c r="Q19" i="1" s="1"/>
  <c r="AQ22" i="1"/>
  <c r="AQ23" i="1" s="1"/>
  <c r="AQ18" i="1"/>
  <c r="AQ19" i="1" s="1"/>
  <c r="U22" i="1"/>
  <c r="U23" i="1" s="1"/>
  <c r="AA22" i="1"/>
  <c r="AA23" i="1" s="1"/>
  <c r="U18" i="1"/>
  <c r="U19" i="1" s="1"/>
  <c r="AM22" i="1"/>
  <c r="AM23" i="1" s="1"/>
  <c r="J11" i="1"/>
  <c r="I12" i="1"/>
  <c r="BH18" i="1"/>
  <c r="BH19" i="1" s="1"/>
  <c r="AD22" i="1" l="1"/>
  <c r="AD23" i="1" s="1"/>
  <c r="AD18" i="1"/>
  <c r="AD19" i="1" s="1"/>
  <c r="BL22" i="1"/>
  <c r="BL23" i="1" s="1"/>
  <c r="BL18" i="1"/>
  <c r="BL19" i="1" s="1"/>
  <c r="AJ22" i="1"/>
  <c r="AJ23" i="1" s="1"/>
  <c r="AJ18" i="1"/>
  <c r="AJ19" i="1" s="1"/>
  <c r="Y22" i="1"/>
  <c r="Y23" i="1" s="1"/>
  <c r="Y18" i="1"/>
  <c r="Y19" i="1" s="1"/>
  <c r="L18" i="1"/>
  <c r="L19" i="1" s="1"/>
  <c r="L22" i="1"/>
  <c r="L23" i="1" s="1"/>
  <c r="AW18" i="1"/>
  <c r="AW19" i="1" s="1"/>
  <c r="AW22" i="1"/>
  <c r="AW23" i="1" s="1"/>
  <c r="Z18" i="1"/>
  <c r="Z19" i="1" s="1"/>
  <c r="Z22" i="1"/>
  <c r="Z23" i="1" s="1"/>
  <c r="K22" i="1"/>
  <c r="K23" i="1" s="1"/>
  <c r="K18" i="1"/>
  <c r="K19" i="1" s="1"/>
  <c r="N22" i="1"/>
  <c r="N23" i="1" s="1"/>
  <c r="N18" i="1"/>
  <c r="N19" i="1" s="1"/>
  <c r="AG18" i="1"/>
  <c r="AG19" i="1" s="1"/>
  <c r="AG22" i="1"/>
  <c r="AG23" i="1" s="1"/>
  <c r="S22" i="1"/>
  <c r="S23" i="1" s="1"/>
  <c r="S18" i="1"/>
  <c r="S19" i="1" s="1"/>
  <c r="BF18" i="1"/>
  <c r="BF19" i="1" s="1"/>
  <c r="BF22" i="1"/>
  <c r="BF23" i="1" s="1"/>
  <c r="BK18" i="1"/>
  <c r="BK19" i="1" s="1"/>
  <c r="BK22" i="1"/>
  <c r="BK23" i="1" s="1"/>
  <c r="AS22" i="1"/>
  <c r="AS23" i="1" s="1"/>
  <c r="AS18" i="1"/>
  <c r="AS19" i="1" s="1"/>
  <c r="BC18" i="1"/>
  <c r="BC19" i="1" s="1"/>
  <c r="BC22" i="1"/>
  <c r="BC23" i="1" s="1"/>
  <c r="AT18" i="1"/>
  <c r="AT19" i="1" s="1"/>
  <c r="AT22" i="1"/>
  <c r="AT23" i="1" s="1"/>
  <c r="V22" i="1"/>
  <c r="V23" i="1" s="1"/>
  <c r="V18" i="1"/>
  <c r="V19" i="1" s="1"/>
  <c r="AV22" i="1"/>
  <c r="AV23" i="1" s="1"/>
  <c r="AV18" i="1"/>
  <c r="AV19" i="1" s="1"/>
  <c r="AZ18" i="1"/>
  <c r="AZ19" i="1" s="1"/>
  <c r="AZ24" i="1" s="1"/>
  <c r="AH18" i="1"/>
  <c r="AH19" i="1" s="1"/>
  <c r="AH22" i="1"/>
  <c r="AH23" i="1" s="1"/>
  <c r="BB18" i="1"/>
  <c r="BB19" i="1" s="1"/>
  <c r="BB22" i="1"/>
  <c r="BB23" i="1" s="1"/>
  <c r="AF18" i="1"/>
  <c r="AF19" i="1" s="1"/>
  <c r="AF22" i="1"/>
  <c r="AF23" i="1" s="1"/>
  <c r="AK18" i="1"/>
  <c r="AK19" i="1" s="1"/>
  <c r="AK22" i="1"/>
  <c r="AK23" i="1" s="1"/>
  <c r="AP22" i="1"/>
  <c r="AP23" i="1" s="1"/>
  <c r="AP18" i="1"/>
  <c r="AP19" i="1" s="1"/>
  <c r="BG22" i="1"/>
  <c r="BG23" i="1" s="1"/>
  <c r="BG18" i="1"/>
  <c r="BG19" i="1" s="1"/>
  <c r="F18" i="1"/>
  <c r="F19" i="1" s="1"/>
  <c r="F22" i="1"/>
  <c r="F23" i="1" s="1"/>
  <c r="AN22" i="1"/>
  <c r="AN23" i="1" s="1"/>
  <c r="AN24" i="1" s="1"/>
  <c r="X18" i="1"/>
  <c r="X19" i="1" s="1"/>
  <c r="X24" i="1" s="1"/>
  <c r="BD24" i="1"/>
  <c r="I18" i="1"/>
  <c r="I19" i="1" s="1"/>
  <c r="I24" i="1" s="1"/>
  <c r="AX24" i="1"/>
  <c r="AC18" i="1"/>
  <c r="AC19" i="1" s="1"/>
  <c r="AC24" i="1" s="1"/>
  <c r="P24" i="1"/>
  <c r="AB24" i="1"/>
  <c r="T24" i="1"/>
  <c r="AO24" i="1"/>
  <c r="AI24" i="1"/>
  <c r="G24" i="1"/>
  <c r="J24" i="1"/>
  <c r="O24" i="1"/>
  <c r="Q24" i="1"/>
  <c r="AE24" i="1"/>
  <c r="BA24" i="1"/>
  <c r="BE24" i="1"/>
  <c r="AY24" i="1"/>
  <c r="M24" i="1"/>
  <c r="W24" i="1"/>
  <c r="AA24" i="1"/>
  <c r="BH24" i="1"/>
  <c r="H24" i="1"/>
  <c r="BJ24" i="1"/>
  <c r="BI24" i="1"/>
  <c r="AL24" i="1"/>
  <c r="R24" i="1"/>
  <c r="AR24" i="1"/>
  <c r="AM24" i="1"/>
  <c r="AU24" i="1"/>
  <c r="AQ24" i="1"/>
  <c r="U24" i="1"/>
  <c r="E22" i="1"/>
  <c r="J12" i="1"/>
  <c r="K11" i="1"/>
  <c r="AG24" i="1" l="1"/>
  <c r="BL24" i="1"/>
  <c r="AW24" i="1"/>
  <c r="N24" i="1"/>
  <c r="L24" i="1"/>
  <c r="AD24" i="1"/>
  <c r="AT24" i="1"/>
  <c r="AJ24" i="1"/>
  <c r="AS24" i="1"/>
  <c r="BG24" i="1"/>
  <c r="BB24" i="1"/>
  <c r="BF24" i="1"/>
  <c r="Y24" i="1"/>
  <c r="AP24" i="1"/>
  <c r="BK24" i="1"/>
  <c r="AH24" i="1"/>
  <c r="AK24" i="1"/>
  <c r="S24" i="1"/>
  <c r="F24" i="1"/>
  <c r="AF24" i="1"/>
  <c r="AV24" i="1"/>
  <c r="K24" i="1"/>
  <c r="BC24" i="1"/>
  <c r="Z24" i="1"/>
  <c r="V24" i="1"/>
  <c r="C18" i="1"/>
  <c r="C20" i="1" s="1"/>
  <c r="E18" i="1"/>
  <c r="E19" i="1" s="1"/>
  <c r="L11" i="1"/>
  <c r="K12" i="1"/>
  <c r="C19" i="1" l="1"/>
  <c r="M11" i="1"/>
  <c r="L12" i="1"/>
  <c r="N11" i="1" l="1"/>
  <c r="M12" i="1"/>
  <c r="N12" i="1" l="1"/>
  <c r="O11" i="1"/>
  <c r="P11" i="1" l="1"/>
  <c r="O12" i="1"/>
  <c r="Q11" i="1" l="1"/>
  <c r="P12" i="1"/>
  <c r="R11" i="1" l="1"/>
  <c r="Q12" i="1"/>
  <c r="R12" i="1" l="1"/>
  <c r="S11" i="1"/>
  <c r="S12" i="1" l="1"/>
  <c r="T11" i="1"/>
  <c r="U11" i="1" l="1"/>
  <c r="T12" i="1"/>
  <c r="V11" i="1" l="1"/>
  <c r="U12" i="1"/>
  <c r="W11" i="1" l="1"/>
  <c r="V12" i="1"/>
  <c r="X11" i="1" l="1"/>
  <c r="W12" i="1"/>
  <c r="X12" i="1" l="1"/>
  <c r="Y11" i="1"/>
  <c r="Y12" i="1" l="1"/>
  <c r="Z11" i="1"/>
  <c r="Z12" i="1" l="1"/>
  <c r="AA11" i="1"/>
  <c r="AB11" i="1" l="1"/>
  <c r="AA12" i="1"/>
  <c r="AC11" i="1" l="1"/>
  <c r="AB12" i="1"/>
  <c r="AD11" i="1" l="1"/>
  <c r="AC12" i="1"/>
  <c r="AD12" i="1" l="1"/>
  <c r="AE11" i="1"/>
  <c r="AF11" i="1" l="1"/>
  <c r="AE12" i="1"/>
  <c r="AG11" i="1" l="1"/>
  <c r="AF12" i="1"/>
  <c r="AH11" i="1" l="1"/>
  <c r="AG12" i="1"/>
  <c r="AI11" i="1" l="1"/>
  <c r="AH12" i="1"/>
  <c r="AI12" i="1" l="1"/>
  <c r="AJ11" i="1"/>
  <c r="AK11" i="1" l="1"/>
  <c r="AJ12" i="1"/>
  <c r="AL11" i="1" l="1"/>
  <c r="AK12" i="1"/>
  <c r="AL12" i="1" l="1"/>
  <c r="AM11" i="1"/>
  <c r="AM12" i="1" l="1"/>
  <c r="AN11" i="1"/>
  <c r="AO11" i="1" l="1"/>
  <c r="AN12" i="1"/>
  <c r="AO12" i="1" l="1"/>
  <c r="AP11" i="1"/>
  <c r="AP12" i="1" l="1"/>
  <c r="AQ11" i="1"/>
  <c r="AR11" i="1" l="1"/>
  <c r="AQ12" i="1"/>
  <c r="AS11" i="1" l="1"/>
  <c r="AR12" i="1"/>
  <c r="AS12" i="1" l="1"/>
  <c r="AT11" i="1"/>
  <c r="AT12" i="1" l="1"/>
  <c r="AU11" i="1"/>
  <c r="AU12" i="1" l="1"/>
  <c r="AV11" i="1"/>
  <c r="AW11" i="1" l="1"/>
  <c r="AV12" i="1"/>
  <c r="AX11" i="1" l="1"/>
  <c r="AW12" i="1"/>
  <c r="AY11" i="1" l="1"/>
  <c r="AX12" i="1"/>
  <c r="AY12" i="1" l="1"/>
  <c r="AZ11" i="1"/>
  <c r="AZ12" i="1" l="1"/>
  <c r="BA11" i="1"/>
  <c r="BB11" i="1" l="1"/>
  <c r="BA12" i="1"/>
  <c r="BB12" i="1" l="1"/>
  <c r="BC11" i="1"/>
  <c r="BC12" i="1" l="1"/>
  <c r="BD11" i="1"/>
  <c r="BD12" i="1" l="1"/>
  <c r="BE11" i="1"/>
  <c r="BF11" i="1" l="1"/>
  <c r="BE12" i="1"/>
  <c r="BF12" i="1" l="1"/>
  <c r="BG11" i="1"/>
  <c r="BG12" i="1" l="1"/>
  <c r="BH11" i="1"/>
  <c r="BI11" i="1" l="1"/>
  <c r="BH12" i="1"/>
  <c r="BJ11" i="1" l="1"/>
  <c r="BI12" i="1"/>
  <c r="BK11" i="1" l="1"/>
  <c r="BJ12" i="1"/>
  <c r="BL11" i="1" l="1"/>
  <c r="BL12" i="1" s="1"/>
  <c r="BK12" i="1"/>
  <c r="D52" i="3"/>
  <c r="D56" i="3"/>
  <c r="D57" i="3" s="1"/>
  <c r="C21" i="1"/>
  <c r="C22" i="1" l="1"/>
  <c r="C23" i="1" s="1"/>
  <c r="C24" i="1" s="1"/>
  <c r="C26" i="1" s="1"/>
  <c r="C29" i="1" s="1"/>
  <c r="E23" i="1"/>
  <c r="E24" i="1" s="1"/>
  <c r="E25" i="1" s="1"/>
  <c r="C27" i="1" l="1"/>
  <c r="F25" i="1"/>
  <c r="E28" i="1"/>
  <c r="E31" i="1" s="1"/>
  <c r="E26" i="1"/>
  <c r="F63" i="3" l="1"/>
  <c r="F64" i="3" s="1"/>
  <c r="G25" i="1"/>
  <c r="F26" i="1"/>
  <c r="F28" i="1"/>
  <c r="F31" i="1" l="1"/>
  <c r="G63" i="3"/>
  <c r="G64" i="3" s="1"/>
  <c r="G26" i="1"/>
  <c r="G28" i="1"/>
  <c r="H25" i="1"/>
  <c r="H63" i="3" l="1"/>
  <c r="H64" i="3" s="1"/>
  <c r="G31" i="1"/>
  <c r="H28" i="1"/>
  <c r="H26" i="1"/>
  <c r="I25" i="1"/>
  <c r="I26" i="1" l="1"/>
  <c r="J25" i="1"/>
  <c r="I28" i="1"/>
  <c r="I63" i="3"/>
  <c r="I64" i="3" s="1"/>
  <c r="H31" i="1"/>
  <c r="I31" i="1" l="1"/>
  <c r="J63" i="3"/>
  <c r="J64" i="3" s="1"/>
  <c r="J26" i="1"/>
  <c r="K25" i="1"/>
  <c r="J28" i="1"/>
  <c r="L25" i="1" l="1"/>
  <c r="K26" i="1"/>
  <c r="K28" i="1"/>
  <c r="K63" i="3"/>
  <c r="K64" i="3" s="1"/>
  <c r="J31" i="1"/>
  <c r="K31" i="1" l="1"/>
  <c r="L63" i="3"/>
  <c r="L64" i="3" s="1"/>
  <c r="L28" i="1"/>
  <c r="M25" i="1"/>
  <c r="L26" i="1"/>
  <c r="M28" i="1" l="1"/>
  <c r="M26" i="1"/>
  <c r="N25" i="1"/>
  <c r="L31" i="1"/>
  <c r="M63" i="3"/>
  <c r="M64" i="3" s="1"/>
  <c r="N26" i="1" l="1"/>
  <c r="O25" i="1"/>
  <c r="N28" i="1"/>
  <c r="N63" i="3"/>
  <c r="N64" i="3" s="1"/>
  <c r="M31" i="1"/>
  <c r="N31" i="1" l="1"/>
  <c r="O63" i="3"/>
  <c r="O64" i="3" s="1"/>
  <c r="P25" i="1"/>
  <c r="O28" i="1"/>
  <c r="O26" i="1"/>
  <c r="O31" i="1" l="1"/>
  <c r="P63" i="3"/>
  <c r="P64" i="3" s="1"/>
  <c r="P28" i="1"/>
  <c r="Q25" i="1"/>
  <c r="P26" i="1"/>
  <c r="Q28" i="1" l="1"/>
  <c r="Q26" i="1"/>
  <c r="R25" i="1"/>
  <c r="P31" i="1"/>
  <c r="Q63" i="3"/>
  <c r="Q64" i="3" s="1"/>
  <c r="S25" i="1" l="1"/>
  <c r="R28" i="1"/>
  <c r="R26" i="1"/>
  <c r="Q31" i="1"/>
  <c r="R63" i="3"/>
  <c r="R64" i="3" s="1"/>
  <c r="S63" i="3" l="1"/>
  <c r="S64" i="3" s="1"/>
  <c r="R31" i="1"/>
  <c r="S26" i="1"/>
  <c r="T25" i="1"/>
  <c r="S28" i="1"/>
  <c r="T28" i="1" l="1"/>
  <c r="T26" i="1"/>
  <c r="U25" i="1"/>
  <c r="S31" i="1"/>
  <c r="T63" i="3"/>
  <c r="T64" i="3" s="1"/>
  <c r="U26" i="1" l="1"/>
  <c r="U28" i="1"/>
  <c r="V25" i="1"/>
  <c r="T31" i="1"/>
  <c r="U63" i="3"/>
  <c r="U64" i="3" s="1"/>
  <c r="V26" i="1" l="1"/>
  <c r="W25" i="1"/>
  <c r="V28" i="1"/>
  <c r="U31" i="1"/>
  <c r="V63" i="3"/>
  <c r="V64" i="3" s="1"/>
  <c r="V31" i="1" l="1"/>
  <c r="W63" i="3"/>
  <c r="W64" i="3" s="1"/>
  <c r="X25" i="1"/>
  <c r="W28" i="1"/>
  <c r="W26" i="1"/>
  <c r="X63" i="3" l="1"/>
  <c r="X64" i="3" s="1"/>
  <c r="W31" i="1"/>
  <c r="X26" i="1"/>
  <c r="X28" i="1"/>
  <c r="Y25" i="1"/>
  <c r="X31" i="1" l="1"/>
  <c r="Y63" i="3"/>
  <c r="Y64" i="3" s="1"/>
  <c r="Y28" i="1"/>
  <c r="Y26" i="1"/>
  <c r="Z25" i="1"/>
  <c r="Z63" i="3" l="1"/>
  <c r="Z64" i="3" s="1"/>
  <c r="Y31" i="1"/>
  <c r="AA25" i="1"/>
  <c r="Z28" i="1"/>
  <c r="Z26" i="1"/>
  <c r="Z31" i="1" l="1"/>
  <c r="AA63" i="3"/>
  <c r="AA64" i="3" s="1"/>
  <c r="AA26" i="1"/>
  <c r="AA28" i="1"/>
  <c r="AB25" i="1"/>
  <c r="AB63" i="3" l="1"/>
  <c r="AB64" i="3" s="1"/>
  <c r="AA31" i="1"/>
  <c r="AB28" i="1"/>
  <c r="AB26" i="1"/>
  <c r="AC25" i="1"/>
  <c r="AC63" i="3" l="1"/>
  <c r="AC64" i="3" s="1"/>
  <c r="AB31" i="1"/>
  <c r="AC26" i="1"/>
  <c r="AC28" i="1"/>
  <c r="AD25" i="1"/>
  <c r="AD63" i="3" l="1"/>
  <c r="AD64" i="3" s="1"/>
  <c r="AC31" i="1"/>
  <c r="AD28" i="1"/>
  <c r="AE25" i="1"/>
  <c r="AD26" i="1"/>
  <c r="AE26" i="1" l="1"/>
  <c r="AF25" i="1"/>
  <c r="AE28" i="1"/>
  <c r="AD31" i="1"/>
  <c r="AE63" i="3"/>
  <c r="AE64" i="3" s="1"/>
  <c r="AE31" i="1" l="1"/>
  <c r="AF63" i="3"/>
  <c r="AF64" i="3" s="1"/>
  <c r="AF26" i="1"/>
  <c r="AG25" i="1"/>
  <c r="AF28" i="1"/>
  <c r="AH25" i="1" l="1"/>
  <c r="AG28" i="1"/>
  <c r="AG26" i="1"/>
  <c r="AF31" i="1"/>
  <c r="AG63" i="3"/>
  <c r="AG64" i="3" s="1"/>
  <c r="AG31" i="1" l="1"/>
  <c r="AH63" i="3"/>
  <c r="AH64" i="3" s="1"/>
  <c r="AH28" i="1"/>
  <c r="AH26" i="1"/>
  <c r="AI25" i="1"/>
  <c r="AH31" i="1" l="1"/>
  <c r="AI63" i="3"/>
  <c r="AI64" i="3" s="1"/>
  <c r="AJ25" i="1"/>
  <c r="AI26" i="1"/>
  <c r="AI28" i="1"/>
  <c r="AJ26" i="1" l="1"/>
  <c r="AJ28" i="1"/>
  <c r="AK25" i="1"/>
  <c r="AJ63" i="3"/>
  <c r="AJ64" i="3" s="1"/>
  <c r="AI31" i="1"/>
  <c r="AK28" i="1" l="1"/>
  <c r="AL25" i="1"/>
  <c r="AK26" i="1"/>
  <c r="AK63" i="3"/>
  <c r="AK64" i="3" s="1"/>
  <c r="AJ31" i="1"/>
  <c r="AL26" i="1" l="1"/>
  <c r="AM25" i="1"/>
  <c r="AL28" i="1"/>
  <c r="AK31" i="1"/>
  <c r="AL63" i="3"/>
  <c r="AL64" i="3" s="1"/>
  <c r="AL31" i="1" l="1"/>
  <c r="AM63" i="3"/>
  <c r="AM64" i="3" s="1"/>
  <c r="AM28" i="1"/>
  <c r="AM26" i="1"/>
  <c r="AN25" i="1"/>
  <c r="AM31" i="1" l="1"/>
  <c r="AN63" i="3"/>
  <c r="AN64" i="3" s="1"/>
  <c r="AN26" i="1"/>
  <c r="AN28" i="1"/>
  <c r="AO25" i="1"/>
  <c r="AN31" i="1" l="1"/>
  <c r="AO63" i="3"/>
  <c r="AO64" i="3" s="1"/>
  <c r="AO28" i="1"/>
  <c r="AP25" i="1"/>
  <c r="AO26" i="1"/>
  <c r="AP63" i="3" l="1"/>
  <c r="AP64" i="3" s="1"/>
  <c r="AO31" i="1"/>
  <c r="AP28" i="1"/>
  <c r="AP26" i="1"/>
  <c r="AQ25" i="1"/>
  <c r="AQ28" i="1" l="1"/>
  <c r="AR25" i="1"/>
  <c r="AQ26" i="1"/>
  <c r="AP31" i="1"/>
  <c r="AQ63" i="3"/>
  <c r="AQ64" i="3" s="1"/>
  <c r="AR28" i="1" l="1"/>
  <c r="AR26" i="1"/>
  <c r="AS25" i="1"/>
  <c r="AQ31" i="1"/>
  <c r="AR63" i="3"/>
  <c r="AR64" i="3" s="1"/>
  <c r="AS28" i="1" l="1"/>
  <c r="AT25" i="1"/>
  <c r="AS26" i="1"/>
  <c r="AS63" i="3"/>
  <c r="AS64" i="3" s="1"/>
  <c r="AR31" i="1"/>
  <c r="AU25" i="1" l="1"/>
  <c r="AT26" i="1"/>
  <c r="AT28" i="1"/>
  <c r="AS31" i="1"/>
  <c r="AT63" i="3"/>
  <c r="AT64" i="3" s="1"/>
  <c r="AU63" i="3" l="1"/>
  <c r="AU64" i="3" s="1"/>
  <c r="AT31" i="1"/>
  <c r="AV25" i="1"/>
  <c r="AU28" i="1"/>
  <c r="AU26" i="1"/>
  <c r="AU31" i="1" l="1"/>
  <c r="AV63" i="3"/>
  <c r="AV64" i="3" s="1"/>
  <c r="AV28" i="1"/>
  <c r="AW25" i="1"/>
  <c r="AV26" i="1"/>
  <c r="AW28" i="1" l="1"/>
  <c r="AX25" i="1"/>
  <c r="AW26" i="1"/>
  <c r="AW63" i="3"/>
  <c r="AW64" i="3" s="1"/>
  <c r="AV31" i="1"/>
  <c r="AY25" i="1" l="1"/>
  <c r="AX26" i="1"/>
  <c r="AX28" i="1"/>
  <c r="AW31" i="1"/>
  <c r="AX63" i="3"/>
  <c r="AX64" i="3" s="1"/>
  <c r="AX31" i="1" l="1"/>
  <c r="AY63" i="3"/>
  <c r="AY64" i="3" s="1"/>
  <c r="AY26" i="1"/>
  <c r="AY28" i="1"/>
  <c r="AZ25" i="1"/>
  <c r="AY31" i="1" l="1"/>
  <c r="AZ63" i="3"/>
  <c r="AZ64" i="3" s="1"/>
  <c r="AZ28" i="1"/>
  <c r="AZ26" i="1"/>
  <c r="BA25" i="1"/>
  <c r="BA63" i="3" l="1"/>
  <c r="BA64" i="3" s="1"/>
  <c r="AZ31" i="1"/>
  <c r="BB25" i="1"/>
  <c r="BA26" i="1"/>
  <c r="BA28" i="1"/>
  <c r="BB28" i="1" l="1"/>
  <c r="BB26" i="1"/>
  <c r="BC25" i="1"/>
  <c r="BB63" i="3"/>
  <c r="BB64" i="3" s="1"/>
  <c r="BA31" i="1"/>
  <c r="BC26" i="1" l="1"/>
  <c r="BC28" i="1"/>
  <c r="BD25" i="1"/>
  <c r="BC63" i="3"/>
  <c r="BC64" i="3" s="1"/>
  <c r="BB31" i="1"/>
  <c r="BD28" i="1" l="1"/>
  <c r="BE25" i="1"/>
  <c r="BD26" i="1"/>
  <c r="BC31" i="1"/>
  <c r="BD63" i="3"/>
  <c r="BD64" i="3" s="1"/>
  <c r="BF25" i="1" l="1"/>
  <c r="BE28" i="1"/>
  <c r="BE26" i="1"/>
  <c r="BD31" i="1"/>
  <c r="BE63" i="3"/>
  <c r="BE64" i="3" s="1"/>
  <c r="BE31" i="1" l="1"/>
  <c r="BF63" i="3"/>
  <c r="BF64" i="3" s="1"/>
  <c r="BF26" i="1"/>
  <c r="BF28" i="1"/>
  <c r="BG25" i="1"/>
  <c r="BF31" i="1" l="1"/>
  <c r="BG63" i="3"/>
  <c r="BG64" i="3" s="1"/>
  <c r="BG26" i="1"/>
  <c r="BH25" i="1"/>
  <c r="BG28" i="1"/>
  <c r="BH26" i="1" l="1"/>
  <c r="BH28" i="1"/>
  <c r="BI25" i="1"/>
  <c r="BG31" i="1"/>
  <c r="BH63" i="3"/>
  <c r="BH64" i="3" s="1"/>
  <c r="BJ25" i="1" l="1"/>
  <c r="BI28" i="1"/>
  <c r="BI26" i="1"/>
  <c r="BI63" i="3"/>
  <c r="BI64" i="3" s="1"/>
  <c r="BH31" i="1"/>
  <c r="BJ63" i="3" l="1"/>
  <c r="BJ64" i="3" s="1"/>
  <c r="BI31" i="1"/>
  <c r="BJ28" i="1"/>
  <c r="BK25" i="1"/>
  <c r="BJ26" i="1"/>
  <c r="BK28" i="1" l="1"/>
  <c r="BL25" i="1"/>
  <c r="BK26" i="1"/>
  <c r="BJ31" i="1"/>
  <c r="BK63" i="3"/>
  <c r="BK64" i="3" s="1"/>
  <c r="BL26" i="1" l="1"/>
  <c r="BL28" i="1"/>
  <c r="BK31" i="1"/>
  <c r="BL63" i="3"/>
  <c r="BL64" i="3" s="1"/>
  <c r="BL31" i="1" l="1"/>
  <c r="D61" i="3" s="1"/>
  <c r="BM63" i="3"/>
  <c r="BM64" i="3" s="1"/>
</calcChain>
</file>

<file path=xl/sharedStrings.xml><?xml version="1.0" encoding="utf-8"?>
<sst xmlns="http://schemas.openxmlformats.org/spreadsheetml/2006/main" count="1380" uniqueCount="498">
  <si>
    <t>PLEASE INSERT DATE</t>
  </si>
  <si>
    <t xml:space="preserve">PLEASE DO NOT CHANGE </t>
  </si>
  <si>
    <t>INPUT CELLS</t>
  </si>
  <si>
    <t>PRE-DEFINED INPUT CELLS (CHANGE ONLY IF DEEMED NECESSARY)</t>
  </si>
  <si>
    <t>LEGEND:</t>
  </si>
  <si>
    <t>TOTAL</t>
  </si>
  <si>
    <t>Project Director</t>
  </si>
  <si>
    <t>Project Manager</t>
  </si>
  <si>
    <t>Invoicing</t>
  </si>
  <si>
    <t>Cash</t>
  </si>
  <si>
    <t>Debt</t>
  </si>
  <si>
    <t>Total Cost</t>
  </si>
  <si>
    <t>Profit / Loss</t>
  </si>
  <si>
    <t>% on income</t>
  </si>
  <si>
    <t>Standing Data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</si>
  <si>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</si>
  <si>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</si>
  <si>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</si>
  <si>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</si>
  <si>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</si>
  <si>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</si>
  <si>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</si>
  <si>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</si>
  <si>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</si>
  <si>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</si>
  <si>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</si>
  <si>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</si>
  <si>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Month 13</t>
  </si>
  <si>
    <t>Month 14</t>
  </si>
  <si>
    <t>Month 15</t>
  </si>
  <si>
    <t>Month 16</t>
  </si>
  <si>
    <t>Month 17</t>
  </si>
  <si>
    <t>Month 18</t>
  </si>
  <si>
    <t>Month 19</t>
  </si>
  <si>
    <t>Month 20</t>
  </si>
  <si>
    <t>Month 21</t>
  </si>
  <si>
    <t>Month 22</t>
  </si>
  <si>
    <t>Month 23</t>
  </si>
  <si>
    <t>Month 24</t>
  </si>
  <si>
    <t>Month 25</t>
  </si>
  <si>
    <t>Month 26</t>
  </si>
  <si>
    <t>Month 27</t>
  </si>
  <si>
    <t>Month 28</t>
  </si>
  <si>
    <t>Month 29</t>
  </si>
  <si>
    <t>Month 30</t>
  </si>
  <si>
    <t>Month 31</t>
  </si>
  <si>
    <t>Month 32</t>
  </si>
  <si>
    <t>Month 33</t>
  </si>
  <si>
    <t>Month 34</t>
  </si>
  <si>
    <t>Month 35</t>
  </si>
  <si>
    <t>Month 36</t>
  </si>
  <si>
    <t>Month 37</t>
  </si>
  <si>
    <t>Month 38</t>
  </si>
  <si>
    <t>Month 39</t>
  </si>
  <si>
    <t>Month 40</t>
  </si>
  <si>
    <t>Month 41</t>
  </si>
  <si>
    <t>Month 42</t>
  </si>
  <si>
    <t>Month 43</t>
  </si>
  <si>
    <t>Month 44</t>
  </si>
  <si>
    <t>Month 45</t>
  </si>
  <si>
    <t>Month 46</t>
  </si>
  <si>
    <t>Month 47</t>
  </si>
  <si>
    <t>Month 48</t>
  </si>
  <si>
    <t>Month 49</t>
  </si>
  <si>
    <t>Month 50</t>
  </si>
  <si>
    <t>Month 51</t>
  </si>
  <si>
    <t>Month 52</t>
  </si>
  <si>
    <t>Month 53</t>
  </si>
  <si>
    <t>Month 54</t>
  </si>
  <si>
    <t>Month 55</t>
  </si>
  <si>
    <t>Month 56</t>
  </si>
  <si>
    <t>Month 57</t>
  </si>
  <si>
    <t>Month 58</t>
  </si>
  <si>
    <t>Month 59</t>
  </si>
  <si>
    <t>Month 60</t>
  </si>
  <si>
    <t>Agency</t>
  </si>
  <si>
    <t>Health &amp; Safety</t>
  </si>
  <si>
    <t>Courses &amp; Conferences</t>
  </si>
  <si>
    <t>Project Office Costs</t>
  </si>
  <si>
    <t>Printing &amp; Stationary</t>
  </si>
  <si>
    <t>Telephone &amp; Fax</t>
  </si>
  <si>
    <t>Courier</t>
  </si>
  <si>
    <t>Photographic costs</t>
  </si>
  <si>
    <t>Books &amp; Publications</t>
  </si>
  <si>
    <t>Bonds &amp; Insurances</t>
  </si>
  <si>
    <t>Local Taxes</t>
  </si>
  <si>
    <t>Translation</t>
  </si>
  <si>
    <t>Submission</t>
  </si>
  <si>
    <t>Hotel</t>
  </si>
  <si>
    <t>Staff Accommodation</t>
  </si>
  <si>
    <t>Legal &amp; Professional</t>
  </si>
  <si>
    <t>Travel</t>
  </si>
  <si>
    <t>Meals &amp; Subsistence</t>
  </si>
  <si>
    <t>Petrol &amp; Mileage</t>
  </si>
  <si>
    <t>Client Entertainment</t>
  </si>
  <si>
    <t>Other</t>
  </si>
  <si>
    <t>Comments</t>
  </si>
  <si>
    <t>DAYS OF OFFICE BASED STAFF</t>
  </si>
  <si>
    <t>No.</t>
  </si>
  <si>
    <t>Subtotal: IS</t>
  </si>
  <si>
    <t>Individual Subconsultant 8</t>
  </si>
  <si>
    <t>Individual Subconsultant 9</t>
  </si>
  <si>
    <t>Individual Subconsultant 10</t>
  </si>
  <si>
    <t>Company Subconsultant 1</t>
  </si>
  <si>
    <t>Company Subconsultant 2</t>
  </si>
  <si>
    <t>Company Subconsultant 3</t>
  </si>
  <si>
    <t>Subtotal: CS</t>
  </si>
  <si>
    <t>Computer &amp; Equipment Charges</t>
  </si>
  <si>
    <t>One-time expenses</t>
  </si>
  <si>
    <t>Periodical expenses</t>
  </si>
  <si>
    <t>Subtotal OTEx</t>
  </si>
  <si>
    <t>TOTAL expenses</t>
  </si>
  <si>
    <t>Individual
Subconsultant exp.</t>
  </si>
  <si>
    <t>Company Subconsultant 4</t>
  </si>
  <si>
    <t>Company Subconsultant 5</t>
  </si>
  <si>
    <t>Company
Subconsultant exp.</t>
  </si>
  <si>
    <t>Item</t>
  </si>
  <si>
    <t>Subtotal PEx</t>
  </si>
  <si>
    <t>Project/Job  name</t>
  </si>
  <si>
    <t>Project/Job number</t>
  </si>
  <si>
    <t>Modified by</t>
  </si>
  <si>
    <t>Total Expenses</t>
  </si>
  <si>
    <t>Modified Date</t>
  </si>
  <si>
    <t>Contingency *</t>
  </si>
  <si>
    <t>* Contingency - is calculated as a percentage of total costs decreasing from 10% by 1 per centage point each 6 months and can be overwritten.</t>
  </si>
  <si>
    <t>Please insert dates &gt;&gt;&gt;</t>
  </si>
  <si>
    <t>Forecast Cum Costs</t>
  </si>
  <si>
    <t>Forecast Cum Cashflow</t>
  </si>
  <si>
    <t>Project Name</t>
  </si>
  <si>
    <t>Project Number</t>
  </si>
  <si>
    <t>Dates as per front page</t>
  </si>
  <si>
    <t>Please insert expenses net of VAT</t>
  </si>
  <si>
    <t>CURRENCY</t>
  </si>
  <si>
    <t>DATE</t>
  </si>
  <si>
    <t>Currency</t>
  </si>
  <si>
    <t>Please feel free to use this sheet for your calculations!</t>
  </si>
  <si>
    <t>FORECAST</t>
  </si>
  <si>
    <t>Business Overhead</t>
  </si>
  <si>
    <t>Salary Cost</t>
  </si>
  <si>
    <t>Staff Overhead Cost</t>
  </si>
  <si>
    <t>Cum Invoicing</t>
  </si>
  <si>
    <t>Cum Cash In</t>
  </si>
  <si>
    <t>Project Expenses</t>
  </si>
  <si>
    <t>Total Overhead</t>
  </si>
  <si>
    <t>Cost of negative cashflow*</t>
  </si>
  <si>
    <t>Salary Inflation %  - PLEASE CHECK &gt;&gt;&gt;&gt;&gt;</t>
  </si>
  <si>
    <t>Individual Subconsultant 1</t>
  </si>
  <si>
    <t>Individual Subconsultant 2</t>
  </si>
  <si>
    <t>Individual Subconsultant 3</t>
  </si>
  <si>
    <t>Individual Subconsultant 4</t>
  </si>
  <si>
    <t>Individual Subconsultant 5</t>
  </si>
  <si>
    <t>Individual Subconsultant 6</t>
  </si>
  <si>
    <t>Individual Subconsultant 7</t>
  </si>
  <si>
    <t>Electrical</t>
  </si>
  <si>
    <t>Structural</t>
  </si>
  <si>
    <t>Overhead %</t>
  </si>
  <si>
    <t>Sal + OHD Cost</t>
  </si>
  <si>
    <t>% Profit + Contingency</t>
  </si>
  <si>
    <t>Mechanical</t>
  </si>
  <si>
    <t>Bridges</t>
  </si>
  <si>
    <t>Water</t>
  </si>
  <si>
    <t>POLISH ZŁOTY</t>
  </si>
  <si>
    <t xml:space="preserve">interest rate </t>
  </si>
  <si>
    <t>* Cost of negative cashflow:</t>
  </si>
  <si>
    <r>
      <t xml:space="preserve">&lt;&lt;&lt; liczbę z komórki D61 należy </t>
    </r>
    <r>
      <rPr>
        <b/>
        <sz val="12"/>
        <rFont val="Arial"/>
        <family val="2"/>
        <charset val="238"/>
      </rPr>
      <t>przepisać ręcznie</t>
    </r>
    <r>
      <rPr>
        <sz val="12"/>
        <rFont val="Arial"/>
        <family val="2"/>
        <charset val="238"/>
      </rPr>
      <t xml:space="preserve"> do F52</t>
    </r>
  </si>
  <si>
    <t>000000-00</t>
  </si>
  <si>
    <t>Director</t>
  </si>
  <si>
    <t>Manager</t>
  </si>
  <si>
    <t>2018-00-00</t>
  </si>
  <si>
    <t>Teams</t>
  </si>
  <si>
    <t>Grades</t>
  </si>
  <si>
    <t>Locations</t>
  </si>
  <si>
    <t>Administration</t>
  </si>
  <si>
    <t>KRK</t>
  </si>
  <si>
    <t>WSW</t>
  </si>
  <si>
    <t>Environmental</t>
  </si>
  <si>
    <t>Geotechnical</t>
  </si>
  <si>
    <t>Highways</t>
  </si>
  <si>
    <t>Management Consultancy</t>
  </si>
  <si>
    <t>Public Health/Plumbing</t>
  </si>
  <si>
    <t>Resource ID</t>
  </si>
  <si>
    <t>Team</t>
  </si>
  <si>
    <t>Grade</t>
  </si>
  <si>
    <t>Cost per day</t>
  </si>
  <si>
    <t>Sal Cost</t>
  </si>
  <si>
    <t>OHD Cost</t>
  </si>
  <si>
    <t>Business OHD</t>
  </si>
  <si>
    <t>OHD</t>
  </si>
  <si>
    <t>Project Management</t>
  </si>
  <si>
    <t>No</t>
  </si>
  <si>
    <t>Name and Surname</t>
  </si>
  <si>
    <t>Project Team</t>
  </si>
  <si>
    <t>Project position</t>
  </si>
  <si>
    <t>Month</t>
  </si>
  <si>
    <t>Comments 1</t>
  </si>
  <si>
    <t>Comments 2</t>
  </si>
  <si>
    <t>Project name:</t>
  </si>
  <si>
    <t>Project number:</t>
  </si>
  <si>
    <t>Subtotal 
days</t>
  </si>
  <si>
    <t>Subtotal 
[PLN]</t>
  </si>
  <si>
    <t>BASIC DATA</t>
  </si>
  <si>
    <t>PD</t>
  </si>
  <si>
    <t>PM</t>
  </si>
  <si>
    <t>PMA</t>
  </si>
  <si>
    <t>PROJECT DATA</t>
  </si>
  <si>
    <t>Internal / External</t>
  </si>
  <si>
    <t>Cost (average)
[PLN/day]</t>
  </si>
  <si>
    <t>Employee Number</t>
  </si>
  <si>
    <t>Preferred Name</t>
  </si>
  <si>
    <t>Last Name</t>
  </si>
  <si>
    <t>Core Job Title</t>
  </si>
  <si>
    <t>Operational Job Title</t>
  </si>
  <si>
    <t>Discipline</t>
  </si>
  <si>
    <t>Biuro</t>
  </si>
  <si>
    <t>Iza</t>
  </si>
  <si>
    <t>Jaroszewicz</t>
  </si>
  <si>
    <t>Associate</t>
  </si>
  <si>
    <t>Chief Accountant</t>
  </si>
  <si>
    <t>Rafal</t>
  </si>
  <si>
    <t>Duszczyk</t>
  </si>
  <si>
    <t>Finance Manager</t>
  </si>
  <si>
    <t>Grzegorz</t>
  </si>
  <si>
    <t>Nyc</t>
  </si>
  <si>
    <t>Health &amp; Safety Officer</t>
  </si>
  <si>
    <t>Karolina</t>
  </si>
  <si>
    <t>Tatys</t>
  </si>
  <si>
    <t>Senior Human Resources Officer</t>
  </si>
  <si>
    <t>Beata</t>
  </si>
  <si>
    <t>Gogolewska-Kawka</t>
  </si>
  <si>
    <t>Business Development Co-ordinator</t>
  </si>
  <si>
    <t>Ewa</t>
  </si>
  <si>
    <t>Nalezyta</t>
  </si>
  <si>
    <t>Assistant</t>
  </si>
  <si>
    <t>Kasia</t>
  </si>
  <si>
    <t>Mowinska</t>
  </si>
  <si>
    <t>Payroll Manager</t>
  </si>
  <si>
    <t>Piotr</t>
  </si>
  <si>
    <t>Gorka</t>
  </si>
  <si>
    <t>Network Administrator</t>
  </si>
  <si>
    <t>Michal</t>
  </si>
  <si>
    <t>Witkowski</t>
  </si>
  <si>
    <t>IT Support Analyst</t>
  </si>
  <si>
    <t>Katarzyna</t>
  </si>
  <si>
    <t>Galecka</t>
  </si>
  <si>
    <t>Specialist</t>
  </si>
  <si>
    <t>Kuba</t>
  </si>
  <si>
    <t>Lech</t>
  </si>
  <si>
    <t>QA Manager</t>
  </si>
  <si>
    <t>Ksiazkiewicz</t>
  </si>
  <si>
    <t>Business Administrator</t>
  </si>
  <si>
    <t>Sebastian</t>
  </si>
  <si>
    <t>Lukasiewicz</t>
  </si>
  <si>
    <t>Engineer</t>
  </si>
  <si>
    <t>Justyna</t>
  </si>
  <si>
    <t>Wyrzykowska</t>
  </si>
  <si>
    <t>Accountant</t>
  </si>
  <si>
    <t>Artur</t>
  </si>
  <si>
    <t>Kita</t>
  </si>
  <si>
    <t>Junior Graphic Designer</t>
  </si>
  <si>
    <t>Szewczuk</t>
  </si>
  <si>
    <t>Kapera</t>
  </si>
  <si>
    <t>IT Analyst/Support</t>
  </si>
  <si>
    <t>Kmieciak</t>
  </si>
  <si>
    <t>Junior IT Manager</t>
  </si>
  <si>
    <t>Zaneta</t>
  </si>
  <si>
    <t>Bielicka</t>
  </si>
  <si>
    <t>Receptionist</t>
  </si>
  <si>
    <t>Izdebska</t>
  </si>
  <si>
    <t>Monika</t>
  </si>
  <si>
    <t>Torba</t>
  </si>
  <si>
    <t>Czarnecki</t>
  </si>
  <si>
    <t>Senior Bridges Engineer</t>
  </si>
  <si>
    <t>Zygmunt</t>
  </si>
  <si>
    <t>Tusinski</t>
  </si>
  <si>
    <t>Senior Engineer</t>
  </si>
  <si>
    <t>Tomasz</t>
  </si>
  <si>
    <t>Jaworski</t>
  </si>
  <si>
    <t>Anna</t>
  </si>
  <si>
    <t>Skwarek</t>
  </si>
  <si>
    <t>Assistant Engineer</t>
  </si>
  <si>
    <t>Andrzej</t>
  </si>
  <si>
    <t>Gancarczyk</t>
  </si>
  <si>
    <t>Jajesnica</t>
  </si>
  <si>
    <t>Lukasz</t>
  </si>
  <si>
    <t>Hetmanski</t>
  </si>
  <si>
    <t>Graduate Engineer</t>
  </si>
  <si>
    <t>Ozog</t>
  </si>
  <si>
    <t>Rafał</t>
  </si>
  <si>
    <t>Nowak</t>
  </si>
  <si>
    <t>Aleksandra</t>
  </si>
  <si>
    <t>Olszewska</t>
  </si>
  <si>
    <t>Kinga</t>
  </si>
  <si>
    <t>Marecik</t>
  </si>
  <si>
    <t>Konarzewski</t>
  </si>
  <si>
    <t>Electrical Engineer</t>
  </si>
  <si>
    <t>Borowski</t>
  </si>
  <si>
    <t>Marek</t>
  </si>
  <si>
    <t>Gorski</t>
  </si>
  <si>
    <t>Frej</t>
  </si>
  <si>
    <t>Potoczny</t>
  </si>
  <si>
    <t>Senior Electrical Engineer</t>
  </si>
  <si>
    <t>Bartosz</t>
  </si>
  <si>
    <t>Borowicz</t>
  </si>
  <si>
    <t>Wojcik</t>
  </si>
  <si>
    <t>Dariusz</t>
  </si>
  <si>
    <t>Szymanski</t>
  </si>
  <si>
    <t>Agnieszka</t>
  </si>
  <si>
    <t>Krolikowska</t>
  </si>
  <si>
    <t>Woldan</t>
  </si>
  <si>
    <t>Boryn</t>
  </si>
  <si>
    <t>Pawel</t>
  </si>
  <si>
    <t>Karwat</t>
  </si>
  <si>
    <t>Lacny</t>
  </si>
  <si>
    <t>Oleg</t>
  </si>
  <si>
    <t>Iaremov</t>
  </si>
  <si>
    <t>Chetnik</t>
  </si>
  <si>
    <t>Kaszyca</t>
  </si>
  <si>
    <t>Patryk</t>
  </si>
  <si>
    <t>Stawiany</t>
  </si>
  <si>
    <t>Poborski</t>
  </si>
  <si>
    <t>Associate Director</t>
  </si>
  <si>
    <t>Environmental Group Leader</t>
  </si>
  <si>
    <t>Urszula</t>
  </si>
  <si>
    <t>Serafinska</t>
  </si>
  <si>
    <t>Senior Specialist</t>
  </si>
  <si>
    <t>Mikolowicz</t>
  </si>
  <si>
    <t>Senior Consultant</t>
  </si>
  <si>
    <t>Maria</t>
  </si>
  <si>
    <t>Kilinska</t>
  </si>
  <si>
    <t>Malgorzata</t>
  </si>
  <si>
    <t>Madalinska</t>
  </si>
  <si>
    <t>Lukawski</t>
  </si>
  <si>
    <t>Environmental Engineer</t>
  </si>
  <si>
    <t>Grabowiecka-Bukat</t>
  </si>
  <si>
    <t>Consultant</t>
  </si>
  <si>
    <t>Maksymilian</t>
  </si>
  <si>
    <t>Rogowski</t>
  </si>
  <si>
    <t>Specialist GIS</t>
  </si>
  <si>
    <t>Mariusz</t>
  </si>
  <si>
    <t>Leszczynski</t>
  </si>
  <si>
    <t>Bogumil</t>
  </si>
  <si>
    <t>Lipiecki</t>
  </si>
  <si>
    <t>Senior Geotechnical Engineer</t>
  </si>
  <si>
    <t>Napiorkowski</t>
  </si>
  <si>
    <t>Jaroslaw</t>
  </si>
  <si>
    <t>Jendrzejczak-Jendrzejewski</t>
  </si>
  <si>
    <t>Geotechnical Engineer</t>
  </si>
  <si>
    <t>Maciej</t>
  </si>
  <si>
    <t>Kolodziejski</t>
  </si>
  <si>
    <t>Karina</t>
  </si>
  <si>
    <t>Zablocka</t>
  </si>
  <si>
    <t>Marcin</t>
  </si>
  <si>
    <t>Kasprzak</t>
  </si>
  <si>
    <t>Road Engineer</t>
  </si>
  <si>
    <t>Wandzel</t>
  </si>
  <si>
    <t>Okulowska</t>
  </si>
  <si>
    <t>Macias</t>
  </si>
  <si>
    <t>Highways Engineer</t>
  </si>
  <si>
    <t>Legucki</t>
  </si>
  <si>
    <t>Wojciech</t>
  </si>
  <si>
    <t>Chrominski</t>
  </si>
  <si>
    <t>Ireneusz</t>
  </si>
  <si>
    <t>Kolodziej</t>
  </si>
  <si>
    <t>Schielmann</t>
  </si>
  <si>
    <t>Oleszkowicz</t>
  </si>
  <si>
    <t>Malanowski</t>
  </si>
  <si>
    <t>Bianchi</t>
  </si>
  <si>
    <t>Joanna</t>
  </si>
  <si>
    <t>Malanowska</t>
  </si>
  <si>
    <t>Analyst</t>
  </si>
  <si>
    <t>Czarnak</t>
  </si>
  <si>
    <t>Przemyslaw</t>
  </si>
  <si>
    <t>Waledziak</t>
  </si>
  <si>
    <t>Aviation Specialist</t>
  </si>
  <si>
    <t>Leszczynska</t>
  </si>
  <si>
    <t>Rakowski</t>
  </si>
  <si>
    <t>Mechanical Engineer</t>
  </si>
  <si>
    <t>Witek</t>
  </si>
  <si>
    <t>Skorupa</t>
  </si>
  <si>
    <t>Biernacki</t>
  </si>
  <si>
    <t>Senior Mechanical Engineer</t>
  </si>
  <si>
    <t>Magdalena</t>
  </si>
  <si>
    <t>Tomaszewska</t>
  </si>
  <si>
    <t>Milewski</t>
  </si>
  <si>
    <t>Marta</t>
  </si>
  <si>
    <t>Mazgaj</t>
  </si>
  <si>
    <t>Jowita</t>
  </si>
  <si>
    <t>Podraza</t>
  </si>
  <si>
    <t>Bak</t>
  </si>
  <si>
    <t>Delikat</t>
  </si>
  <si>
    <t>Kordian</t>
  </si>
  <si>
    <t>Adam</t>
  </si>
  <si>
    <t>Klosinski</t>
  </si>
  <si>
    <t>Damian</t>
  </si>
  <si>
    <t>Bronowski</t>
  </si>
  <si>
    <t>Janda</t>
  </si>
  <si>
    <t>Porowska</t>
  </si>
  <si>
    <t>Cwiek</t>
  </si>
  <si>
    <t>Iwona</t>
  </si>
  <si>
    <t>Krupka-Opas</t>
  </si>
  <si>
    <t>Puchala</t>
  </si>
  <si>
    <t>Ganczar</t>
  </si>
  <si>
    <t>Kepa</t>
  </si>
  <si>
    <t>Paulina</t>
  </si>
  <si>
    <t>Pietrzak</t>
  </si>
  <si>
    <t>Ariel</t>
  </si>
  <si>
    <t>Kwiatkowski</t>
  </si>
  <si>
    <t>Dolega-Otocki</t>
  </si>
  <si>
    <t>Julia</t>
  </si>
  <si>
    <t>Szczesna</t>
  </si>
  <si>
    <t>Marlena</t>
  </si>
  <si>
    <t>Maczka</t>
  </si>
  <si>
    <t>Sylwia</t>
  </si>
  <si>
    <t>Krzan</t>
  </si>
  <si>
    <t>Niewiadomski</t>
  </si>
  <si>
    <t>Bulidings Group Leader</t>
  </si>
  <si>
    <t>Bernadetta</t>
  </si>
  <si>
    <t>Badura</t>
  </si>
  <si>
    <t>Sendrowicz</t>
  </si>
  <si>
    <t>Moskala</t>
  </si>
  <si>
    <t>Dorota</t>
  </si>
  <si>
    <t>Radzieta</t>
  </si>
  <si>
    <t>Edyta</t>
  </si>
  <si>
    <t>Bachor</t>
  </si>
  <si>
    <t>Cost Engineer</t>
  </si>
  <si>
    <t>Maj</t>
  </si>
  <si>
    <t>Assistant Project Manager</t>
  </si>
  <si>
    <t>Robert</t>
  </si>
  <si>
    <t>Szymczak</t>
  </si>
  <si>
    <t>Szczepara</t>
  </si>
  <si>
    <t>Wlecial</t>
  </si>
  <si>
    <t>Skruszeniec</t>
  </si>
  <si>
    <t>Jacek</t>
  </si>
  <si>
    <t>Marzec</t>
  </si>
  <si>
    <t>Jedra</t>
  </si>
  <si>
    <t>Miroslaw</t>
  </si>
  <si>
    <t>Bogusz</t>
  </si>
  <si>
    <t>Arkadiusz</t>
  </si>
  <si>
    <t>Surus</t>
  </si>
  <si>
    <t>Gajda</t>
  </si>
  <si>
    <t>Zieniuk</t>
  </si>
  <si>
    <t>Soluch</t>
  </si>
  <si>
    <t>Structural Engineer</t>
  </si>
  <si>
    <t>Szafarczyk</t>
  </si>
  <si>
    <t>Senior Structural Engineer</t>
  </si>
  <si>
    <t>Lewonowski</t>
  </si>
  <si>
    <t>Giers</t>
  </si>
  <si>
    <t>Knapczyk</t>
  </si>
  <si>
    <t>Prochaczek</t>
  </si>
  <si>
    <t>Guz vel Guzowski</t>
  </si>
  <si>
    <t>Krzysztof</t>
  </si>
  <si>
    <t>Przybylski</t>
  </si>
  <si>
    <t>Kupczyk</t>
  </si>
  <si>
    <t>Emilian</t>
  </si>
  <si>
    <t>Szarow</t>
  </si>
  <si>
    <t>Jakub</t>
  </si>
  <si>
    <t>Gajdzinski</t>
  </si>
  <si>
    <t>Czapko</t>
  </si>
  <si>
    <t>Opolski</t>
  </si>
  <si>
    <t>Technician</t>
  </si>
  <si>
    <t>Tomek</t>
  </si>
  <si>
    <t>Rybus</t>
  </si>
  <si>
    <t>Jakubowski</t>
  </si>
  <si>
    <t>Dudelewicz</t>
  </si>
  <si>
    <t>Michał</t>
  </si>
  <si>
    <t>Filipek</t>
  </si>
  <si>
    <t>Murzyn</t>
  </si>
  <si>
    <t>Barbara</t>
  </si>
  <si>
    <t>Rymar</t>
  </si>
  <si>
    <t>Zieba</t>
  </si>
  <si>
    <t>Ilona</t>
  </si>
  <si>
    <t>Laskowska</t>
  </si>
  <si>
    <t>Zalewski</t>
  </si>
  <si>
    <t>Glixelli</t>
  </si>
  <si>
    <t>Paluch</t>
  </si>
  <si>
    <t>Szatan</t>
  </si>
  <si>
    <t>Malinowska-Glixelli</t>
  </si>
  <si>
    <t>Dudek</t>
  </si>
  <si>
    <t>Drozd</t>
  </si>
  <si>
    <t>GIS Specialist</t>
  </si>
  <si>
    <t>Ciesielski</t>
  </si>
  <si>
    <t>Stanley</t>
  </si>
  <si>
    <t>Akyea</t>
  </si>
  <si>
    <t>Dastin</t>
  </si>
  <si>
    <t>Adamowski</t>
  </si>
  <si>
    <t>Name</t>
  </si>
  <si>
    <t>BLG</t>
  </si>
  <si>
    <t>Internal/External</t>
  </si>
  <si>
    <t>Internal</t>
  </si>
  <si>
    <t>External Arup</t>
  </si>
  <si>
    <t>External Subcontractor</t>
  </si>
  <si>
    <t>Office 
(KRK/WSW/BLG)</t>
  </si>
  <si>
    <r>
      <t xml:space="preserve">Please input </t>
    </r>
    <r>
      <rPr>
        <b/>
        <u/>
        <sz val="16"/>
        <rFont val="Arial"/>
        <family val="2"/>
        <charset val="238"/>
      </rPr>
      <t>days</t>
    </r>
    <r>
      <rPr>
        <b/>
        <sz val="16"/>
        <rFont val="Arial"/>
        <family val="2"/>
        <charset val="238"/>
      </rPr>
      <t xml:space="preserve"> of staff starting with column 'R' according to staff grades and accounting centres</t>
    </r>
  </si>
  <si>
    <t>Exact Cost 
[PLN/day]</t>
  </si>
  <si>
    <t>EXTERNAL and not listed internal</t>
  </si>
  <si>
    <t>nieznany</t>
  </si>
  <si>
    <t>Borowicz Bartosz</t>
  </si>
  <si>
    <t>Adamowski Dastin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</si>
</sst>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\ _z_ł_-;\-* #,##0\ _z_ł_-;_-* &quot;-&quot;\ _z_ł_-;_-@_-"/>
    <numFmt numFmtId="164" formatCode="_-* #,##0.00_-;\-* #,##0.00_-;_-* &quot;-&quot;??_-;_-@_-"/>
    <numFmt numFmtId="165" formatCode="#,##0.00_ ;[Red]\-#,##0.00\ "/>
    <numFmt numFmtId="166" formatCode="#,##0_ ;[Red]\-#,##0\ "/>
    <numFmt numFmtId="167" formatCode="[$-809]dd\ mmmm\ yyyy;@"/>
    <numFmt numFmtId="168" formatCode="#,##0.00\ &quot;zł&quot;"/>
    <numFmt numFmtId="169" formatCode="0.0%"/>
    <numFmt numFmtId="170" formatCode="0.0000"/>
  </numFmts>
  <fonts count="31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i/>
      <sz val="10"/>
      <name val="Arial"/>
      <family val="2"/>
      <charset val="238"/>
    </font>
    <font>
      <b/>
      <u/>
      <sz val="10"/>
      <name val="Arial"/>
      <family val="2"/>
      <charset val="238"/>
    </font>
    <font>
      <b/>
      <sz val="16"/>
      <name val="Arial"/>
      <family val="2"/>
      <charset val="238"/>
    </font>
    <font>
      <sz val="16"/>
      <name val="Arial"/>
      <family val="2"/>
      <charset val="238"/>
    </font>
    <font>
      <b/>
      <sz val="12"/>
      <name val="Arial"/>
      <family val="2"/>
      <charset val="238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"/>
      <family val="2"/>
      <charset val="238"/>
    </font>
    <font>
      <b/>
      <sz val="8"/>
      <color indexed="10"/>
      <name val="Arial"/>
      <family val="2"/>
      <charset val="238"/>
    </font>
    <font>
      <sz val="8"/>
      <name val="Arial"/>
      <family val="2"/>
      <charset val="238"/>
    </font>
    <font>
      <b/>
      <sz val="8"/>
      <color indexed="57"/>
      <name val="Arial"/>
      <family val="2"/>
      <charset val="238"/>
    </font>
    <font>
      <b/>
      <i/>
      <u/>
      <sz val="10"/>
      <name val="Arial"/>
      <family val="2"/>
      <charset val="238"/>
    </font>
    <font>
      <b/>
      <u/>
      <sz val="16"/>
      <name val="Arial"/>
      <family val="2"/>
      <charset val="238"/>
    </font>
    <font>
      <sz val="11"/>
      <name val="Arial"/>
      <family val="2"/>
      <charset val="238"/>
    </font>
    <font>
      <b/>
      <sz val="11"/>
      <name val="Arial"/>
      <family val="2"/>
      <charset val="238"/>
    </font>
    <font>
      <b/>
      <i/>
      <sz val="12"/>
      <color indexed="57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b/>
      <sz val="8"/>
      <color theme="2" tint="-0.499984740745262"/>
      <name val="Arial"/>
      <family val="2"/>
      <charset val="238"/>
    </font>
    <font>
      <sz val="9"/>
      <name val="Arial"/>
      <family val="2"/>
      <charset val="238"/>
    </font>
    <font>
      <sz val="12"/>
      <name val="Arial"/>
      <family val="2"/>
      <charset val="238"/>
    </font>
    <font>
      <sz val="11"/>
      <name val="Calibri"/>
      <family val="2"/>
      <scheme val="minor"/>
    </font>
    <font>
      <b/>
      <sz val="12"/>
      <color theme="0"/>
      <name val="Arial"/>
      <family val="2"/>
      <charset val="238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" fillId="0" borderId="0"/>
  </cellStyleXfs>
  <cellXfs count="2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0" applyFont="1"/>
    <xf numFmtId="0" fontId="0" fillId="0" borderId="0" xfId="0" applyFill="1"/>
    <xf numFmtId="165" fontId="0" fillId="2" borderId="1" xfId="1" applyNumberFormat="1" applyFont="1" applyFill="1" applyBorder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0" fontId="0" fillId="2" borderId="4" xfId="0" applyFill="1" applyBorder="1"/>
    <xf numFmtId="0" fontId="0" fillId="2" borderId="6" xfId="0" applyFill="1" applyBorder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0" fillId="0" borderId="0" xfId="1" applyFont="1" applyFill="1"/>
    <xf numFmtId="0" fontId="0" fillId="0" borderId="1" xfId="0" applyBorder="1" applyAlignment="1">
      <alignment horizontal="center" vertical="center"/>
    </xf>
    <xf numFmtId="164" fontId="0" fillId="3" borderId="1" xfId="1" applyFont="1" applyFill="1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3" borderId="8" xfId="1" applyFont="1" applyFill="1" applyBorder="1"/>
    <xf numFmtId="164" fontId="0" fillId="3" borderId="9" xfId="1" applyFont="1" applyFill="1" applyBorder="1"/>
    <xf numFmtId="164" fontId="0" fillId="3" borderId="10" xfId="1" applyFont="1" applyFill="1" applyBorder="1"/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2" borderId="12" xfId="1" applyFont="1" applyFill="1" applyBorder="1"/>
    <xf numFmtId="0" fontId="11" fillId="0" borderId="0" xfId="0" applyFont="1"/>
    <xf numFmtId="165" fontId="0" fillId="2" borderId="10" xfId="1" applyNumberFormat="1" applyFont="1" applyFill="1" applyBorder="1"/>
    <xf numFmtId="165" fontId="0" fillId="2" borderId="11" xfId="1" applyNumberFormat="1" applyFont="1" applyFill="1" applyBorder="1"/>
    <xf numFmtId="165" fontId="0" fillId="2" borderId="12" xfId="1" applyNumberFormat="1" applyFont="1" applyFill="1" applyBorder="1"/>
    <xf numFmtId="0" fontId="3" fillId="0" borderId="0" xfId="0" applyFont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Border="1"/>
    <xf numFmtId="165" fontId="0" fillId="2" borderId="1" xfId="0" applyNumberFormat="1" applyFill="1" applyBorder="1"/>
    <xf numFmtId="165" fontId="0" fillId="2" borderId="10" xfId="0" applyNumberFormat="1" applyFill="1" applyBorder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15" fillId="0" borderId="1" xfId="0" applyNumberFormat="1" applyFont="1" applyBorder="1"/>
    <xf numFmtId="165" fontId="0" fillId="0" borderId="1" xfId="2" applyNumberFormat="1" applyFont="1" applyBorder="1"/>
    <xf numFmtId="165" fontId="0" fillId="0" borderId="1" xfId="0" applyNumberFormat="1" applyBorder="1"/>
    <xf numFmtId="0" fontId="3" fillId="0" borderId="0" xfId="0" applyFont="1" applyBorder="1" applyAlignment="1">
      <alignment horizontal="center"/>
    </xf>
    <xf numFmtId="0" fontId="0" fillId="0" borderId="4" xfId="0" applyBorder="1"/>
    <xf numFmtId="0" fontId="3" fillId="0" borderId="13" xfId="0" applyFont="1" applyBorder="1"/>
    <xf numFmtId="0" fontId="3" fillId="0" borderId="14" xfId="0" applyFont="1" applyBorder="1"/>
    <xf numFmtId="165" fontId="15" fillId="0" borderId="10" xfId="0" applyNumberFormat="1" applyFont="1" applyBorder="1"/>
    <xf numFmtId="165" fontId="0" fillId="2" borderId="13" xfId="1" applyNumberFormat="1" applyFont="1" applyFill="1" applyBorder="1"/>
    <xf numFmtId="165" fontId="0" fillId="0" borderId="10" xfId="2" applyNumberFormat="1" applyFont="1" applyBorder="1"/>
    <xf numFmtId="165" fontId="0" fillId="0" borderId="10" xfId="0" applyNumberFormat="1" applyBorder="1"/>
    <xf numFmtId="0" fontId="14" fillId="0" borderId="0" xfId="0" applyFont="1" applyBorder="1"/>
    <xf numFmtId="0" fontId="16" fillId="5" borderId="0" xfId="0" applyFont="1" applyFill="1" applyBorder="1"/>
    <xf numFmtId="9" fontId="0" fillId="0" borderId="0" xfId="2" applyFont="1" applyBorder="1"/>
    <xf numFmtId="41" fontId="0" fillId="0" borderId="0" xfId="0" applyNumberFormat="1" applyFill="1" applyBorder="1"/>
    <xf numFmtId="0" fontId="0" fillId="2" borderId="1" xfId="0" applyFill="1" applyBorder="1"/>
    <xf numFmtId="0" fontId="0" fillId="3" borderId="5" xfId="0" applyFill="1" applyBorder="1"/>
    <xf numFmtId="17" fontId="0" fillId="2" borderId="1" xfId="0" applyNumberFormat="1" applyFill="1" applyBorder="1"/>
    <xf numFmtId="41" fontId="0" fillId="2" borderId="1" xfId="0" applyNumberFormat="1" applyFill="1" applyBorder="1"/>
    <xf numFmtId="0" fontId="0" fillId="2" borderId="1" xfId="0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164" fontId="0" fillId="2" borderId="18" xfId="1" applyFont="1" applyFill="1" applyBorder="1"/>
    <xf numFmtId="164" fontId="0" fillId="2" borderId="19" xfId="1" applyFont="1" applyFill="1" applyBorder="1"/>
    <xf numFmtId="0" fontId="3" fillId="0" borderId="20" xfId="0" applyNumberFormat="1" applyFont="1" applyFill="1" applyBorder="1" applyAlignment="1"/>
    <xf numFmtId="0" fontId="3" fillId="0" borderId="13" xfId="0" applyNumberFormat="1" applyFont="1" applyFill="1" applyBorder="1" applyAlignment="1"/>
    <xf numFmtId="0" fontId="20" fillId="0" borderId="0" xfId="0" applyFont="1"/>
    <xf numFmtId="0" fontId="0" fillId="0" borderId="4" xfId="0" applyFill="1" applyBorder="1"/>
    <xf numFmtId="164" fontId="0" fillId="2" borderId="21" xfId="0" applyNumberFormat="1" applyFill="1" applyBorder="1"/>
    <xf numFmtId="164" fontId="0" fillId="2" borderId="22" xfId="0" applyNumberFormat="1" applyFill="1" applyBorder="1"/>
    <xf numFmtId="0" fontId="0" fillId="3" borderId="15" xfId="0" applyFill="1" applyBorder="1"/>
    <xf numFmtId="0" fontId="0" fillId="2" borderId="23" xfId="0" applyFill="1" applyBorder="1"/>
    <xf numFmtId="164" fontId="0" fillId="2" borderId="24" xfId="0" applyNumberFormat="1" applyFill="1" applyBorder="1"/>
    <xf numFmtId="0" fontId="0" fillId="0" borderId="17" xfId="0" applyFill="1" applyBorder="1"/>
    <xf numFmtId="164" fontId="0" fillId="2" borderId="11" xfId="1" applyFont="1" applyFill="1" applyBorder="1"/>
    <xf numFmtId="0" fontId="0" fillId="0" borderId="2" xfId="0" applyFill="1" applyBorder="1"/>
    <xf numFmtId="0" fontId="10" fillId="2" borderId="25" xfId="0" applyFont="1" applyFill="1" applyBorder="1"/>
    <xf numFmtId="164" fontId="10" fillId="2" borderId="26" xfId="0" applyNumberFormat="1" applyFont="1" applyFill="1" applyBorder="1"/>
    <xf numFmtId="0" fontId="0" fillId="0" borderId="27" xfId="0" applyFill="1" applyBorder="1"/>
    <xf numFmtId="0" fontId="3" fillId="0" borderId="20" xfId="0" applyFont="1" applyBorder="1"/>
    <xf numFmtId="0" fontId="3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166" fontId="3" fillId="2" borderId="10" xfId="1" applyNumberFormat="1" applyFont="1" applyFill="1" applyBorder="1" applyAlignment="1">
      <alignment horizontal="right"/>
    </xf>
    <xf numFmtId="166" fontId="13" fillId="2" borderId="10" xfId="0" applyNumberFormat="1" applyFont="1" applyFill="1" applyBorder="1" applyAlignment="1">
      <alignment horizontal="left"/>
    </xf>
    <xf numFmtId="166" fontId="9" fillId="2" borderId="10" xfId="0" applyNumberFormat="1" applyFont="1" applyFill="1" applyBorder="1" applyAlignment="1">
      <alignment horizontal="right"/>
    </xf>
    <xf numFmtId="166" fontId="9" fillId="2" borderId="10" xfId="1" applyNumberFormat="1" applyFont="1" applyFill="1" applyBorder="1" applyAlignment="1">
      <alignment horizontal="right"/>
    </xf>
    <xf numFmtId="0" fontId="5" fillId="0" borderId="0" xfId="0" applyFont="1" applyBorder="1" applyAlignment="1">
      <alignment horizontal="left"/>
    </xf>
    <xf numFmtId="166" fontId="5" fillId="2" borderId="10" xfId="0" applyNumberFormat="1" applyFont="1" applyFill="1" applyBorder="1" applyAlignment="1">
      <alignment horizontal="right"/>
    </xf>
    <xf numFmtId="165" fontId="5" fillId="2" borderId="1" xfId="1" applyNumberFormat="1" applyFont="1" applyFill="1" applyBorder="1"/>
    <xf numFmtId="165" fontId="5" fillId="2" borderId="10" xfId="1" applyNumberFormat="1" applyFont="1" applyFill="1" applyBorder="1"/>
    <xf numFmtId="0" fontId="5" fillId="0" borderId="0" xfId="0" applyFont="1" applyBorder="1"/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/>
    <xf numFmtId="165" fontId="0" fillId="2" borderId="5" xfId="1" applyNumberFormat="1" applyFont="1" applyFill="1" applyBorder="1"/>
    <xf numFmtId="165" fontId="0" fillId="4" borderId="5" xfId="1" applyNumberFormat="1" applyFont="1" applyFill="1" applyBorder="1"/>
    <xf numFmtId="0" fontId="3" fillId="0" borderId="28" xfId="0" applyFont="1" applyBorder="1"/>
    <xf numFmtId="0" fontId="12" fillId="0" borderId="28" xfId="0" applyFont="1" applyBorder="1"/>
    <xf numFmtId="0" fontId="3" fillId="0" borderId="28" xfId="0" applyFont="1" applyFill="1" applyBorder="1"/>
    <xf numFmtId="9" fontId="0" fillId="2" borderId="10" xfId="2" applyNumberFormat="1" applyFont="1" applyFill="1" applyBorder="1"/>
    <xf numFmtId="0" fontId="3" fillId="0" borderId="15" xfId="0" applyFont="1" applyBorder="1" applyAlignment="1">
      <alignment horizontal="center"/>
    </xf>
    <xf numFmtId="165" fontId="0" fillId="2" borderId="5" xfId="0" applyNumberFormat="1" applyFill="1" applyBorder="1"/>
    <xf numFmtId="165" fontId="15" fillId="0" borderId="5" xfId="0" applyNumberFormat="1" applyFont="1" applyBorder="1"/>
    <xf numFmtId="165" fontId="0" fillId="0" borderId="5" xfId="2" applyNumberFormat="1" applyFont="1" applyBorder="1"/>
    <xf numFmtId="165" fontId="5" fillId="2" borderId="5" xfId="1" applyNumberFormat="1" applyFont="1" applyFill="1" applyBorder="1"/>
    <xf numFmtId="165" fontId="0" fillId="0" borderId="5" xfId="0" applyNumberFormat="1" applyBorder="1"/>
    <xf numFmtId="165" fontId="0" fillId="2" borderId="17" xfId="1" applyNumberFormat="1" applyFont="1" applyFill="1" applyBorder="1"/>
    <xf numFmtId="0" fontId="3" fillId="0" borderId="21" xfId="0" applyFont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165" fontId="3" fillId="3" borderId="22" xfId="1" applyNumberFormat="1" applyFont="1" applyFill="1" applyBorder="1"/>
    <xf numFmtId="165" fontId="9" fillId="3" borderId="22" xfId="1" applyNumberFormat="1" applyFont="1" applyFill="1" applyBorder="1"/>
    <xf numFmtId="165" fontId="0" fillId="2" borderId="22" xfId="0" applyNumberFormat="1" applyFill="1" applyBorder="1"/>
    <xf numFmtId="165" fontId="15" fillId="0" borderId="22" xfId="0" applyNumberFormat="1" applyFont="1" applyBorder="1"/>
    <xf numFmtId="165" fontId="0" fillId="3" borderId="22" xfId="1" applyNumberFormat="1" applyFont="1" applyFill="1" applyBorder="1"/>
    <xf numFmtId="165" fontId="0" fillId="0" borderId="29" xfId="1" applyNumberFormat="1" applyFont="1" applyFill="1" applyBorder="1"/>
    <xf numFmtId="165" fontId="5" fillId="2" borderId="22" xfId="1" applyNumberFormat="1" applyFont="1" applyFill="1" applyBorder="1"/>
    <xf numFmtId="9" fontId="0" fillId="2" borderId="22" xfId="2" applyNumberFormat="1" applyFont="1" applyFill="1" applyBorder="1"/>
    <xf numFmtId="165" fontId="0" fillId="2" borderId="24" xfId="1" applyNumberFormat="1" applyFont="1" applyFill="1" applyBorder="1"/>
    <xf numFmtId="0" fontId="3" fillId="0" borderId="30" xfId="0" applyFont="1" applyBorder="1"/>
    <xf numFmtId="166" fontId="3" fillId="0" borderId="19" xfId="0" applyNumberFormat="1" applyFont="1" applyFill="1" applyBorder="1" applyAlignment="1">
      <alignment horizontal="right"/>
    </xf>
    <xf numFmtId="165" fontId="9" fillId="3" borderId="1" xfId="1" applyNumberFormat="1" applyFont="1" applyFill="1" applyBorder="1"/>
    <xf numFmtId="165" fontId="9" fillId="3" borderId="10" xfId="1" applyNumberFormat="1" applyFont="1" applyFill="1" applyBorder="1"/>
    <xf numFmtId="10" fontId="3" fillId="2" borderId="12" xfId="2" applyNumberFormat="1" applyFont="1" applyFill="1" applyBorder="1" applyAlignment="1">
      <alignment horizontal="center"/>
    </xf>
    <xf numFmtId="165" fontId="9" fillId="2" borderId="10" xfId="1" applyNumberFormat="1" applyFont="1" applyFill="1" applyBorder="1" applyAlignment="1">
      <alignment horizontal="right"/>
    </xf>
    <xf numFmtId="165" fontId="9" fillId="2" borderId="10" xfId="0" applyNumberFormat="1" applyFont="1" applyFill="1" applyBorder="1" applyAlignment="1">
      <alignment horizontal="right"/>
    </xf>
    <xf numFmtId="0" fontId="16" fillId="8" borderId="0" xfId="0" applyFont="1" applyFill="1" applyBorder="1" applyAlignment="1">
      <alignment horizontal="left"/>
    </xf>
    <xf numFmtId="0" fontId="16" fillId="8" borderId="28" xfId="0" applyFont="1" applyFill="1" applyBorder="1"/>
    <xf numFmtId="166" fontId="16" fillId="8" borderId="10" xfId="0" applyNumberFormat="1" applyFont="1" applyFill="1" applyBorder="1" applyAlignment="1">
      <alignment horizontal="left"/>
    </xf>
    <xf numFmtId="165" fontId="16" fillId="8" borderId="22" xfId="0" applyNumberFormat="1" applyFont="1" applyFill="1" applyBorder="1"/>
    <xf numFmtId="165" fontId="16" fillId="8" borderId="5" xfId="0" applyNumberFormat="1" applyFont="1" applyFill="1" applyBorder="1"/>
    <xf numFmtId="165" fontId="16" fillId="8" borderId="1" xfId="0" applyNumberFormat="1" applyFont="1" applyFill="1" applyBorder="1"/>
    <xf numFmtId="165" fontId="16" fillId="8" borderId="10" xfId="0" applyNumberFormat="1" applyFont="1" applyFill="1" applyBorder="1"/>
    <xf numFmtId="0" fontId="16" fillId="8" borderId="0" xfId="0" applyFont="1" applyFill="1" applyBorder="1"/>
    <xf numFmtId="0" fontId="3" fillId="8" borderId="0" xfId="0" applyFont="1" applyFill="1" applyBorder="1" applyAlignment="1">
      <alignment horizontal="left"/>
    </xf>
    <xf numFmtId="0" fontId="3" fillId="8" borderId="13" xfId="0" applyFont="1" applyFill="1" applyBorder="1"/>
    <xf numFmtId="166" fontId="9" fillId="8" borderId="10" xfId="0" applyNumberFormat="1" applyFont="1" applyFill="1" applyBorder="1" applyAlignment="1">
      <alignment horizontal="right"/>
    </xf>
    <xf numFmtId="165" fontId="23" fillId="8" borderId="22" xfId="1" applyNumberFormat="1" applyFont="1" applyFill="1" applyBorder="1"/>
    <xf numFmtId="165" fontId="23" fillId="8" borderId="5" xfId="1" applyNumberFormat="1" applyFont="1" applyFill="1" applyBorder="1"/>
    <xf numFmtId="165" fontId="23" fillId="8" borderId="1" xfId="1" applyNumberFormat="1" applyFont="1" applyFill="1" applyBorder="1"/>
    <xf numFmtId="165" fontId="23" fillId="8" borderId="10" xfId="1" applyNumberFormat="1" applyFont="1" applyFill="1" applyBorder="1"/>
    <xf numFmtId="0" fontId="0" fillId="8" borderId="0" xfId="0" applyFill="1" applyBorder="1"/>
    <xf numFmtId="166" fontId="10" fillId="2" borderId="10" xfId="1" applyNumberFormat="1" applyFont="1" applyFill="1" applyBorder="1" applyAlignment="1">
      <alignment horizontal="right"/>
    </xf>
    <xf numFmtId="166" fontId="10" fillId="2" borderId="10" xfId="0" applyNumberFormat="1" applyFont="1" applyFill="1" applyBorder="1" applyAlignment="1">
      <alignment horizontal="right"/>
    </xf>
    <xf numFmtId="164" fontId="0" fillId="11" borderId="1" xfId="1" applyFont="1" applyFill="1" applyBorder="1"/>
    <xf numFmtId="0" fontId="0" fillId="11" borderId="1" xfId="0" applyFill="1" applyBorder="1"/>
    <xf numFmtId="165" fontId="1" fillId="3" borderId="1" xfId="1" applyNumberFormat="1" applyFont="1" applyFill="1" applyBorder="1"/>
    <xf numFmtId="165" fontId="1" fillId="3" borderId="5" xfId="1" applyNumberFormat="1" applyFont="1" applyFill="1" applyBorder="1"/>
    <xf numFmtId="0" fontId="0" fillId="0" borderId="0" xfId="0"/>
    <xf numFmtId="17" fontId="3" fillId="3" borderId="5" xfId="0" applyNumberFormat="1" applyFont="1" applyFill="1" applyBorder="1"/>
    <xf numFmtId="0" fontId="0" fillId="0" borderId="4" xfId="0" applyBorder="1"/>
    <xf numFmtId="0" fontId="0" fillId="0" borderId="0" xfId="0"/>
    <xf numFmtId="164" fontId="0" fillId="3" borderId="1" xfId="3" applyFont="1" applyFill="1" applyBorder="1"/>
    <xf numFmtId="164" fontId="0" fillId="3" borderId="8" xfId="3" applyFont="1" applyFill="1" applyBorder="1"/>
    <xf numFmtId="0" fontId="0" fillId="3" borderId="5" xfId="0" applyFill="1" applyBorder="1"/>
    <xf numFmtId="0" fontId="0" fillId="3" borderId="15" xfId="0" applyFill="1" applyBorder="1"/>
    <xf numFmtId="0" fontId="25" fillId="0" borderId="0" xfId="0" applyFont="1"/>
    <xf numFmtId="0" fontId="3" fillId="0" borderId="35" xfId="0" applyFont="1" applyBorder="1"/>
    <xf numFmtId="10" fontId="3" fillId="10" borderId="35" xfId="2" applyNumberFormat="1" applyFont="1" applyFill="1" applyBorder="1" applyAlignment="1">
      <alignment horizontal="center"/>
    </xf>
    <xf numFmtId="0" fontId="26" fillId="0" borderId="0" xfId="0" applyFont="1"/>
    <xf numFmtId="168" fontId="26" fillId="0" borderId="0" xfId="0" applyNumberFormat="1" applyFont="1"/>
    <xf numFmtId="0" fontId="27" fillId="0" borderId="0" xfId="0" applyFont="1"/>
    <xf numFmtId="170" fontId="0" fillId="0" borderId="0" xfId="0" applyNumberFormat="1"/>
    <xf numFmtId="2" fontId="0" fillId="0" borderId="0" xfId="0" applyNumberFormat="1"/>
    <xf numFmtId="164" fontId="0" fillId="10" borderId="1" xfId="1" applyFont="1" applyFill="1" applyBorder="1"/>
    <xf numFmtId="2" fontId="27" fillId="10" borderId="1" xfId="0" applyNumberFormat="1" applyFont="1" applyFill="1" applyBorder="1"/>
    <xf numFmtId="0" fontId="1" fillId="0" borderId="0" xfId="0" applyFont="1"/>
    <xf numFmtId="169" fontId="0" fillId="10" borderId="0" xfId="0" applyNumberFormat="1" applyFill="1"/>
    <xf numFmtId="0" fontId="1" fillId="0" borderId="0" xfId="5"/>
    <xf numFmtId="0" fontId="1" fillId="0" borderId="0" xfId="5" applyFont="1"/>
    <xf numFmtId="0" fontId="28" fillId="0" borderId="36" xfId="5" applyFont="1" applyBorder="1" applyProtection="1">
      <protection hidden="1"/>
    </xf>
    <xf numFmtId="0" fontId="1" fillId="0" borderId="0" xfId="5" applyProtection="1">
      <protection locked="0"/>
    </xf>
    <xf numFmtId="0" fontId="9" fillId="6" borderId="0" xfId="0" applyFont="1" applyFill="1" applyProtection="1">
      <protection locked="0"/>
    </xf>
    <xf numFmtId="9" fontId="22" fillId="7" borderId="1" xfId="2" applyFont="1" applyFill="1" applyBorder="1" applyAlignment="1" applyProtection="1">
      <alignment horizontal="center"/>
      <protection locked="0"/>
    </xf>
    <xf numFmtId="0" fontId="1" fillId="0" borderId="0" xfId="5" applyFill="1" applyProtection="1">
      <protection locked="0"/>
    </xf>
    <xf numFmtId="0" fontId="8" fillId="0" borderId="0" xfId="0" applyFont="1" applyFill="1" applyBorder="1" applyProtection="1">
      <protection locked="0"/>
    </xf>
    <xf numFmtId="166" fontId="9" fillId="0" borderId="0" xfId="0" applyNumberFormat="1" applyFont="1" applyFill="1" applyBorder="1" applyAlignment="1" applyProtection="1">
      <alignment horizontal="right"/>
      <protection locked="0"/>
    </xf>
    <xf numFmtId="0" fontId="9" fillId="0" borderId="0" xfId="0" applyFont="1" applyFill="1" applyProtection="1">
      <protection locked="0"/>
    </xf>
    <xf numFmtId="9" fontId="22" fillId="0" borderId="0" xfId="2" applyFont="1" applyFill="1" applyBorder="1" applyAlignment="1" applyProtection="1">
      <alignment horizontal="center"/>
      <protection locked="0"/>
    </xf>
    <xf numFmtId="0" fontId="1" fillId="0" borderId="1" xfId="5" applyFont="1" applyBorder="1" applyProtection="1">
      <protection locked="0"/>
    </xf>
    <xf numFmtId="0" fontId="1" fillId="0" borderId="1" xfId="5" applyBorder="1" applyProtection="1">
      <protection locked="0"/>
    </xf>
    <xf numFmtId="0" fontId="1" fillId="11" borderId="1" xfId="5" applyFill="1" applyBorder="1" applyProtection="1">
      <protection locked="0"/>
    </xf>
    <xf numFmtId="9" fontId="1" fillId="11" borderId="1" xfId="5" applyNumberFormat="1" applyFill="1" applyBorder="1" applyProtection="1">
      <protection locked="0"/>
    </xf>
    <xf numFmtId="0" fontId="6" fillId="0" borderId="0" xfId="0" applyFont="1" applyProtection="1"/>
    <xf numFmtId="0" fontId="7" fillId="0" borderId="0" xfId="0" applyFont="1" applyProtection="1"/>
    <xf numFmtId="0" fontId="1" fillId="0" borderId="0" xfId="5" applyProtection="1"/>
    <xf numFmtId="0" fontId="6" fillId="0" borderId="0" xfId="0" applyFont="1" applyBorder="1" applyProtection="1"/>
    <xf numFmtId="0" fontId="7" fillId="0" borderId="0" xfId="0" applyFont="1" applyBorder="1" applyProtection="1"/>
    <xf numFmtId="0" fontId="0" fillId="0" borderId="0" xfId="0" applyProtection="1"/>
    <xf numFmtId="0" fontId="0" fillId="2" borderId="1" xfId="0" applyFill="1" applyBorder="1" applyAlignment="1" applyProtection="1">
      <alignment horizontal="center"/>
    </xf>
    <xf numFmtId="0" fontId="0" fillId="2" borderId="0" xfId="0" applyFill="1" applyProtection="1"/>
    <xf numFmtId="0" fontId="4" fillId="0" borderId="0" xfId="0" applyFont="1" applyProtection="1"/>
    <xf numFmtId="167" fontId="0" fillId="2" borderId="1" xfId="0" applyNumberFormat="1" applyFill="1" applyBorder="1" applyAlignment="1" applyProtection="1">
      <alignment horizontal="center"/>
    </xf>
    <xf numFmtId="0" fontId="0" fillId="3" borderId="0" xfId="0" applyFill="1" applyProtection="1"/>
    <xf numFmtId="0" fontId="9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41" fontId="0" fillId="0" borderId="0" xfId="0" applyNumberFormat="1" applyFill="1" applyBorder="1" applyProtection="1"/>
    <xf numFmtId="0" fontId="0" fillId="4" borderId="0" xfId="0" applyFill="1" applyProtection="1"/>
    <xf numFmtId="1" fontId="1" fillId="10" borderId="1" xfId="5" applyNumberFormat="1" applyFill="1" applyBorder="1" applyProtection="1"/>
    <xf numFmtId="0" fontId="1" fillId="10" borderId="1" xfId="5" applyFill="1" applyBorder="1" applyProtection="1"/>
    <xf numFmtId="0" fontId="1" fillId="3" borderId="1" xfId="5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1" fillId="0" borderId="0" xfId="5" applyAlignment="1" applyProtection="1">
      <alignment horizontal="center" vertical="center"/>
      <protection locked="0"/>
    </xf>
    <xf numFmtId="0" fontId="1" fillId="0" borderId="0" xfId="5" applyFill="1" applyAlignment="1" applyProtection="1">
      <alignment horizontal="center" vertical="center"/>
      <protection locked="0"/>
    </xf>
    <xf numFmtId="17" fontId="18" fillId="10" borderId="5" xfId="1" applyNumberFormat="1" applyFont="1" applyFill="1" applyBorder="1" applyAlignment="1" applyProtection="1">
      <alignment horizontal="center" vertical="center"/>
    </xf>
    <xf numFmtId="17" fontId="19" fillId="10" borderId="5" xfId="1" applyNumberFormat="1" applyFont="1" applyFill="1" applyBorder="1" applyAlignment="1" applyProtection="1">
      <alignment horizontal="center" vertical="center"/>
    </xf>
    <xf numFmtId="0" fontId="1" fillId="0" borderId="1" xfId="5" applyFont="1" applyBorder="1" applyAlignment="1" applyProtection="1">
      <alignment horizontal="center" vertical="center"/>
      <protection locked="0"/>
    </xf>
    <xf numFmtId="0" fontId="1" fillId="0" borderId="1" xfId="5" applyBorder="1" applyAlignment="1" applyProtection="1">
      <alignment horizontal="center" vertical="center"/>
      <protection locked="0"/>
    </xf>
    <xf numFmtId="17" fontId="19" fillId="0" borderId="5" xfId="1" applyNumberFormat="1" applyFont="1" applyFill="1" applyBorder="1" applyAlignment="1" applyProtection="1">
      <alignment horizontal="center" vertical="center"/>
    </xf>
    <xf numFmtId="0" fontId="1" fillId="10" borderId="1" xfId="5" applyFill="1" applyBorder="1" applyAlignment="1" applyProtection="1">
      <alignment horizontal="center" vertical="center"/>
    </xf>
    <xf numFmtId="0" fontId="1" fillId="0" borderId="1" xfId="5" applyFill="1" applyBorder="1" applyAlignment="1" applyProtection="1">
      <alignment horizontal="center" vertical="center"/>
      <protection locked="0"/>
    </xf>
    <xf numFmtId="1" fontId="19" fillId="10" borderId="5" xfId="1" applyNumberFormat="1" applyFont="1" applyFill="1" applyBorder="1" applyAlignment="1" applyProtection="1">
      <alignment horizontal="center" vertical="center"/>
    </xf>
    <xf numFmtId="9" fontId="3" fillId="10" borderId="1" xfId="2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  <protection locked="0"/>
    </xf>
    <xf numFmtId="166" fontId="9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17" fontId="19" fillId="10" borderId="1" xfId="1" applyNumberFormat="1" applyFont="1" applyFill="1" applyBorder="1" applyAlignment="1" applyProtection="1">
      <alignment horizontal="center" vertical="center"/>
    </xf>
    <xf numFmtId="0" fontId="1" fillId="0" borderId="0" xfId="5" applyBorder="1" applyProtection="1">
      <protection locked="0"/>
    </xf>
    <xf numFmtId="0" fontId="1" fillId="0" borderId="0" xfId="5" applyFill="1" applyBorder="1" applyProtection="1">
      <protection locked="0"/>
    </xf>
    <xf numFmtId="0" fontId="1" fillId="0" borderId="0" xfId="5" applyFill="1" applyBorder="1" applyAlignment="1" applyProtection="1">
      <alignment horizontal="center" vertical="center"/>
      <protection locked="0"/>
    </xf>
    <xf numFmtId="17" fontId="19" fillId="0" borderId="0" xfId="1" applyNumberFormat="1" applyFont="1" applyFill="1" applyBorder="1" applyAlignment="1" applyProtection="1">
      <alignment horizontal="center" vertical="center"/>
      <protection locked="0"/>
    </xf>
    <xf numFmtId="0" fontId="1" fillId="0" borderId="0" xfId="5" applyBorder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/>
    </xf>
    <xf numFmtId="0" fontId="29" fillId="6" borderId="0" xfId="0" applyFont="1" applyFill="1" applyAlignment="1" applyProtection="1">
      <alignment horizontal="right" vertical="center"/>
      <protection locked="0"/>
    </xf>
    <xf numFmtId="17" fontId="19" fillId="0" borderId="6" xfId="1" applyNumberFormat="1" applyFont="1" applyFill="1" applyBorder="1" applyAlignment="1" applyProtection="1">
      <alignment horizontal="center" vertical="center"/>
    </xf>
    <xf numFmtId="0" fontId="1" fillId="0" borderId="4" xfId="5" applyFill="1" applyBorder="1" applyAlignment="1" applyProtection="1">
      <alignment horizontal="center" vertical="center"/>
      <protection locked="0"/>
    </xf>
    <xf numFmtId="0" fontId="1" fillId="3" borderId="5" xfId="5" applyFill="1" applyBorder="1" applyAlignment="1" applyProtection="1">
      <alignment horizontal="center" vertical="center"/>
      <protection locked="0"/>
    </xf>
    <xf numFmtId="0" fontId="4" fillId="10" borderId="31" xfId="0" applyFont="1" applyFill="1" applyBorder="1" applyAlignment="1" applyProtection="1">
      <alignment horizontal="center" vertical="center"/>
    </xf>
    <xf numFmtId="0" fontId="4" fillId="10" borderId="31" xfId="0" applyFont="1" applyFill="1" applyBorder="1" applyAlignment="1" applyProtection="1">
      <alignment horizontal="right" vertical="center"/>
    </xf>
    <xf numFmtId="0" fontId="18" fillId="3" borderId="13" xfId="5" applyFont="1" applyFill="1" applyBorder="1" applyAlignment="1" applyProtection="1">
      <alignment horizontal="center" vertical="center"/>
      <protection locked="0"/>
    </xf>
    <xf numFmtId="0" fontId="18" fillId="3" borderId="10" xfId="5" applyFont="1" applyFill="1" applyBorder="1" applyAlignment="1" applyProtection="1">
      <alignment horizontal="center" vertical="center"/>
      <protection locked="0"/>
    </xf>
    <xf numFmtId="17" fontId="19" fillId="10" borderId="13" xfId="1" applyNumberFormat="1" applyFont="1" applyFill="1" applyBorder="1" applyAlignment="1" applyProtection="1">
      <alignment horizontal="center" vertical="center"/>
    </xf>
    <xf numFmtId="17" fontId="19" fillId="10" borderId="33" xfId="1" applyNumberFormat="1" applyFont="1" applyFill="1" applyBorder="1" applyAlignment="1" applyProtection="1">
      <alignment horizontal="center" vertical="center"/>
    </xf>
    <xf numFmtId="17" fontId="19" fillId="10" borderId="14" xfId="1" applyNumberFormat="1" applyFont="1" applyFill="1" applyBorder="1" applyAlignment="1" applyProtection="1">
      <alignment horizontal="center" vertical="center"/>
    </xf>
    <xf numFmtId="17" fontId="19" fillId="10" borderId="34" xfId="1" applyNumberFormat="1" applyFont="1" applyFill="1" applyBorder="1" applyAlignment="1" applyProtection="1">
      <alignment horizontal="center" vertical="center"/>
    </xf>
    <xf numFmtId="17" fontId="18" fillId="9" borderId="37" xfId="1" applyNumberFormat="1" applyFont="1" applyFill="1" applyBorder="1" applyAlignment="1" applyProtection="1">
      <alignment horizontal="center" vertical="center" wrapText="1"/>
    </xf>
    <xf numFmtId="17" fontId="18" fillId="9" borderId="6" xfId="1" applyNumberFormat="1" applyFont="1" applyFill="1" applyBorder="1" applyAlignment="1" applyProtection="1">
      <alignment horizontal="center" vertical="center"/>
    </xf>
    <xf numFmtId="0" fontId="18" fillId="9" borderId="5" xfId="1" applyNumberFormat="1" applyFont="1" applyFill="1" applyBorder="1" applyAlignment="1" applyProtection="1">
      <alignment horizontal="center" vertical="center"/>
    </xf>
    <xf numFmtId="0" fontId="1" fillId="9" borderId="0" xfId="5" applyFont="1" applyFill="1" applyBorder="1" applyAlignment="1" applyProtection="1">
      <alignment horizontal="center" vertical="center"/>
      <protection locked="0"/>
    </xf>
    <xf numFmtId="0" fontId="1" fillId="9" borderId="0" xfId="5" applyFont="1" applyFill="1" applyAlignment="1" applyProtection="1">
      <alignment horizontal="center" vertical="center"/>
      <protection locked="0"/>
    </xf>
    <xf numFmtId="0" fontId="1" fillId="10" borderId="5" xfId="5" applyFill="1" applyBorder="1" applyAlignment="1" applyProtection="1">
      <alignment horizontal="center" vertical="center"/>
    </xf>
    <xf numFmtId="0" fontId="10" fillId="0" borderId="0" xfId="5" applyFont="1" applyFill="1" applyAlignment="1" applyProtection="1">
      <alignment horizontal="left" vertical="center"/>
      <protection locked="0"/>
    </xf>
    <xf numFmtId="17" fontId="18" fillId="10" borderId="5" xfId="1" applyNumberFormat="1" applyFont="1" applyFill="1" applyBorder="1" applyAlignment="1" applyProtection="1">
      <alignment horizontal="left" vertical="center"/>
    </xf>
    <xf numFmtId="17" fontId="19" fillId="10" borderId="5" xfId="1" applyNumberFormat="1" applyFont="1" applyFill="1" applyBorder="1" applyAlignment="1" applyProtection="1">
      <alignment horizontal="left" vertical="center"/>
    </xf>
    <xf numFmtId="0" fontId="30" fillId="8" borderId="0" xfId="0" applyFont="1" applyFill="1" applyBorder="1" applyAlignment="1" applyProtection="1">
      <alignment horizontal="center" vertical="center" wrapText="1"/>
    </xf>
    <xf numFmtId="0" fontId="28" fillId="0" borderId="38" xfId="0" applyFont="1" applyBorder="1" applyProtection="1">
      <protection hidden="1"/>
    </xf>
    <xf numFmtId="0" fontId="28" fillId="0" borderId="36" xfId="0" applyFont="1" applyBorder="1" applyProtection="1">
      <protection hidden="1"/>
    </xf>
    <xf numFmtId="0" fontId="0" fillId="9" borderId="0" xfId="0" applyFill="1"/>
    <xf numFmtId="0" fontId="28" fillId="9" borderId="38" xfId="0" applyFont="1" applyFill="1" applyBorder="1" applyProtection="1">
      <protection hidden="1"/>
    </xf>
    <xf numFmtId="0" fontId="28" fillId="9" borderId="36" xfId="0" applyFont="1" applyFill="1" applyBorder="1" applyProtection="1">
      <protection hidden="1"/>
    </xf>
    <xf numFmtId="0" fontId="0" fillId="4" borderId="1" xfId="0" applyFill="1" applyBorder="1" applyProtection="1"/>
    <xf numFmtId="17" fontId="18" fillId="9" borderId="1" xfId="1" applyNumberFormat="1" applyFont="1" applyFill="1" applyBorder="1" applyAlignment="1" applyProtection="1">
      <alignment horizontal="center" vertical="center"/>
    </xf>
    <xf numFmtId="17" fontId="18" fillId="9" borderId="1" xfId="1" applyNumberFormat="1" applyFont="1" applyFill="1" applyBorder="1" applyAlignment="1" applyProtection="1">
      <alignment horizontal="center" vertical="center" wrapText="1"/>
    </xf>
    <xf numFmtId="17" fontId="18" fillId="9" borderId="20" xfId="1" applyNumberFormat="1" applyFont="1" applyFill="1" applyBorder="1" applyAlignment="1" applyProtection="1">
      <alignment horizontal="center" vertical="center" wrapText="1"/>
    </xf>
    <xf numFmtId="17" fontId="18" fillId="9" borderId="3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/>
    </xf>
    <xf numFmtId="0" fontId="8" fillId="0" borderId="0" xfId="0" applyFont="1" applyFill="1" applyBorder="1" applyProtection="1"/>
    <xf numFmtId="0" fontId="9" fillId="0" borderId="0" xfId="0" applyFont="1" applyFill="1" applyBorder="1" applyProtection="1">
      <protection locked="0"/>
    </xf>
    <xf numFmtId="0" fontId="1" fillId="10" borderId="1" xfId="5" applyFill="1" applyBorder="1" applyAlignment="1" applyProtection="1">
      <alignment horizontal="center" vertical="center"/>
      <protection locked="0"/>
    </xf>
    <xf numFmtId="0" fontId="0" fillId="10" borderId="1" xfId="0" applyFill="1" applyBorder="1" applyProtection="1"/>
    <xf numFmtId="0" fontId="1" fillId="10" borderId="4" xfId="5" applyFill="1" applyBorder="1" applyAlignment="1" applyProtection="1">
      <alignment horizontal="center" vertical="center"/>
      <protection locked="0"/>
    </xf>
    <xf numFmtId="0" fontId="18" fillId="10" borderId="13" xfId="5" applyFont="1" applyFill="1" applyBorder="1" applyAlignment="1" applyProtection="1">
      <alignment horizontal="center" vertical="center"/>
      <protection locked="0"/>
    </xf>
    <xf numFmtId="0" fontId="18" fillId="10" borderId="10" xfId="5" applyFont="1" applyFill="1" applyBorder="1" applyAlignment="1" applyProtection="1">
      <alignment horizontal="center" vertical="center"/>
      <protection locked="0"/>
    </xf>
    <xf numFmtId="0" fontId="1" fillId="10" borderId="5" xfId="5" applyFill="1" applyBorder="1" applyAlignment="1" applyProtection="1">
      <alignment horizontal="center" vertical="center"/>
      <protection locked="0"/>
    </xf>
    <xf numFmtId="0" fontId="1" fillId="10" borderId="0" xfId="5" applyFill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/>
    <xf numFmtId="41" fontId="0" fillId="2" borderId="1" xfId="0" applyNumberFormat="1" applyFill="1" applyBorder="1" applyAlignment="1" applyProtection="1">
      <alignment horizontal="left"/>
    </xf>
    <xf numFmtId="0" fontId="9" fillId="2" borderId="1" xfId="0" applyFont="1" applyFill="1" applyBorder="1" applyAlignment="1" applyProtection="1">
      <alignment horizontal="left" vertical="center"/>
    </xf>
    <xf numFmtId="0" fontId="1" fillId="3" borderId="8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21" fillId="2" borderId="20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3" borderId="32" xfId="0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0" fontId="3" fillId="3" borderId="16" xfId="0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0" fontId="3" fillId="3" borderId="11" xfId="0" applyFont="1" applyFill="1" applyBorder="1" applyAlignment="1" applyProtection="1">
      <alignment horizontal="center"/>
      <protection locked="0"/>
    </xf>
    <xf numFmtId="0" fontId="3" fillId="3" borderId="12" xfId="0" applyFont="1" applyFill="1" applyBorder="1" applyAlignment="1" applyProtection="1">
      <alignment horizontal="center"/>
      <protection locked="0"/>
    </xf>
    <xf numFmtId="0" fontId="8" fillId="10" borderId="1" xfId="0" applyFont="1" applyFill="1" applyBorder="1" applyAlignment="1" applyProtection="1">
      <alignment horizontal="center" vertical="center" wrapText="1"/>
    </xf>
    <xf numFmtId="0" fontId="8" fillId="10" borderId="1" xfId="5" applyFont="1" applyFill="1" applyBorder="1" applyAlignment="1" applyProtection="1">
      <alignment horizontal="center" vertical="center" wrapText="1"/>
    </xf>
    <xf numFmtId="0" fontId="0" fillId="2" borderId="20" xfId="0" applyFill="1" applyBorder="1" applyAlignment="1">
      <alignment horizontal="center" vertical="center" textRotation="90"/>
    </xf>
    <xf numFmtId="0" fontId="0" fillId="2" borderId="13" xfId="0" applyFill="1" applyBorder="1" applyAlignment="1">
      <alignment horizontal="center" vertical="center" textRotation="90"/>
    </xf>
    <xf numFmtId="0" fontId="0" fillId="2" borderId="14" xfId="0" applyFill="1" applyBorder="1" applyAlignment="1">
      <alignment horizontal="center" vertical="center" textRotation="90"/>
    </xf>
    <xf numFmtId="0" fontId="0" fillId="2" borderId="4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5" xfId="0" applyFont="1" applyFill="1" applyBorder="1" applyAlignment="1">
      <alignment horizontal="left" vertical="center"/>
    </xf>
    <xf numFmtId="0" fontId="0" fillId="2" borderId="20" xfId="0" applyFill="1" applyBorder="1" applyAlignment="1">
      <alignment horizontal="center" vertical="center" textRotation="90" wrapText="1"/>
    </xf>
    <xf numFmtId="0" fontId="0" fillId="2" borderId="13" xfId="0" applyFill="1" applyBorder="1" applyAlignment="1">
      <alignment horizontal="center" vertical="center" textRotation="90" wrapText="1"/>
    </xf>
    <xf numFmtId="0" fontId="0" fillId="2" borderId="14" xfId="0" applyFill="1" applyBorder="1" applyAlignment="1">
      <alignment horizontal="center" vertical="center" textRotation="90" wrapText="1"/>
    </xf>
  </cellXfs>
  <cellStyles count="6">
    <cellStyle name="Comma" xfId="1" builtinId="3"/>
    <cellStyle name="Comma 2" xfId="3" xr:uid="{00000000-0005-0000-0000-000001000000}"/>
    <cellStyle name="Normal" xfId="0" builtinId="0"/>
    <cellStyle name="Normal 2" xfId="5" xr:uid="{00000000-0005-0000-0000-000003000000}"/>
    <cellStyle name="Percent" xfId="2" builtinId="5"/>
    <cellStyle name="Percent 2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Cumulative Cashflow</a:t>
            </a:r>
          </a:p>
        </c:rich>
      </c:tx>
      <c:layout>
        <c:manualLayout>
          <c:xMode val="edge"/>
          <c:yMode val="edge"/>
          <c:x val="0.41261633919338181"/>
          <c:y val="2.03389830508474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740434332989035E-2"/>
          <c:y val="0.12542372881355818"/>
          <c:w val="0.93691830403309262"/>
          <c:h val="0.805084745762707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Forecast!$E$28:$BL$28</c:f>
              <c:numCache>
                <c:formatCode>#\ ##0.00_ ;[Red]\-#\ ##0.00\ </c:formatCode>
                <c:ptCount val="60"/>
                <c:pt idx="0">
                  <c:v>-6340.6200000000008</c:v>
                </c:pt>
                <c:pt idx="1">
                  <c:v>-7800.6500000000015</c:v>
                </c:pt>
                <c:pt idx="2">
                  <c:v>-10430.420000000002</c:v>
                </c:pt>
                <c:pt idx="3">
                  <c:v>-14229.930000000002</c:v>
                </c:pt>
                <c:pt idx="4">
                  <c:v>-14761.630000000003</c:v>
                </c:pt>
                <c:pt idx="5">
                  <c:v>-15346.500000000004</c:v>
                </c:pt>
                <c:pt idx="6">
                  <c:v>-15931.370000000004</c:v>
                </c:pt>
                <c:pt idx="7">
                  <c:v>-16516.240000000005</c:v>
                </c:pt>
                <c:pt idx="8">
                  <c:v>-17101.110000000004</c:v>
                </c:pt>
                <c:pt idx="9">
                  <c:v>-17685.980000000003</c:v>
                </c:pt>
                <c:pt idx="10">
                  <c:v>-18270.850000000002</c:v>
                </c:pt>
                <c:pt idx="11">
                  <c:v>-18855.72</c:v>
                </c:pt>
                <c:pt idx="12">
                  <c:v>-19458.1361</c:v>
                </c:pt>
                <c:pt idx="13">
                  <c:v>-20060.552199999998</c:v>
                </c:pt>
                <c:pt idx="14">
                  <c:v>-20662.968299999997</c:v>
                </c:pt>
                <c:pt idx="15">
                  <c:v>-21265.384399999995</c:v>
                </c:pt>
                <c:pt idx="16">
                  <c:v>-21867.800499999994</c:v>
                </c:pt>
                <c:pt idx="17">
                  <c:v>-22470.216599999992</c:v>
                </c:pt>
                <c:pt idx="18">
                  <c:v>-23072.632699999991</c:v>
                </c:pt>
                <c:pt idx="19">
                  <c:v>-23675.04879999999</c:v>
                </c:pt>
                <c:pt idx="20">
                  <c:v>-24277.464899999988</c:v>
                </c:pt>
                <c:pt idx="21">
                  <c:v>-24879.880999999987</c:v>
                </c:pt>
                <c:pt idx="22">
                  <c:v>-25482.297099999985</c:v>
                </c:pt>
                <c:pt idx="23">
                  <c:v>-26084.713199999984</c:v>
                </c:pt>
                <c:pt idx="24">
                  <c:v>-26710.524099999984</c:v>
                </c:pt>
                <c:pt idx="25">
                  <c:v>-27336.334999999985</c:v>
                </c:pt>
                <c:pt idx="26">
                  <c:v>-27962.145899999985</c:v>
                </c:pt>
                <c:pt idx="27">
                  <c:v>-28587.956799999985</c:v>
                </c:pt>
                <c:pt idx="28">
                  <c:v>-29213.767699999986</c:v>
                </c:pt>
                <c:pt idx="29">
                  <c:v>-29839.578599999986</c:v>
                </c:pt>
                <c:pt idx="30">
                  <c:v>-30465.389499999987</c:v>
                </c:pt>
                <c:pt idx="31">
                  <c:v>-31091.200399999987</c:v>
                </c:pt>
                <c:pt idx="32">
                  <c:v>-31717.011299999987</c:v>
                </c:pt>
                <c:pt idx="33">
                  <c:v>-32342.822199999988</c:v>
                </c:pt>
                <c:pt idx="34">
                  <c:v>-32968.633099999985</c:v>
                </c:pt>
                <c:pt idx="35">
                  <c:v>-33594.443999999981</c:v>
                </c:pt>
                <c:pt idx="36">
                  <c:v>-33594.443999999981</c:v>
                </c:pt>
                <c:pt idx="37">
                  <c:v>-33594.443999999981</c:v>
                </c:pt>
                <c:pt idx="38">
                  <c:v>-33594.443999999981</c:v>
                </c:pt>
                <c:pt idx="39">
                  <c:v>-33594.443999999981</c:v>
                </c:pt>
                <c:pt idx="40">
                  <c:v>-33594.443999999981</c:v>
                </c:pt>
                <c:pt idx="41">
                  <c:v>-33594.443999999981</c:v>
                </c:pt>
                <c:pt idx="42">
                  <c:v>-33594.443999999981</c:v>
                </c:pt>
                <c:pt idx="43">
                  <c:v>-33594.443999999981</c:v>
                </c:pt>
                <c:pt idx="44">
                  <c:v>-33594.443999999981</c:v>
                </c:pt>
                <c:pt idx="45">
                  <c:v>-33594.443999999981</c:v>
                </c:pt>
                <c:pt idx="46">
                  <c:v>-33594.443999999981</c:v>
                </c:pt>
                <c:pt idx="47">
                  <c:v>-33594.443999999981</c:v>
                </c:pt>
                <c:pt idx="48">
                  <c:v>-33594.443999999981</c:v>
                </c:pt>
                <c:pt idx="49">
                  <c:v>-33594.443999999981</c:v>
                </c:pt>
                <c:pt idx="50">
                  <c:v>-33594.443999999981</c:v>
                </c:pt>
                <c:pt idx="51">
                  <c:v>-33594.443999999981</c:v>
                </c:pt>
                <c:pt idx="52">
                  <c:v>-33594.443999999981</c:v>
                </c:pt>
                <c:pt idx="53">
                  <c:v>-33594.443999999981</c:v>
                </c:pt>
                <c:pt idx="54">
                  <c:v>-33594.443999999981</c:v>
                </c:pt>
                <c:pt idx="55">
                  <c:v>-33594.443999999981</c:v>
                </c:pt>
                <c:pt idx="56">
                  <c:v>-33594.443999999981</c:v>
                </c:pt>
                <c:pt idx="57">
                  <c:v>-33594.443999999981</c:v>
                </c:pt>
                <c:pt idx="58">
                  <c:v>-33594.443999999981</c:v>
                </c:pt>
                <c:pt idx="59">
                  <c:v>-33594.443999999981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649-4BEB-96BC-8C162DC29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368128"/>
        <c:axId val="233031240"/>
      </c:lineChart>
      <c:catAx>
        <c:axId val="2303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0312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33031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0.00_ ;[Red]\-#\ ##0.0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368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6"/>
  <sheetViews>
    <sheetView zoomScale="129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4</xdr:row>
          <xdr:rowOff>104775</xdr:rowOff>
        </xdr:from>
        <xdr:to>
          <xdr:col>3</xdr:col>
          <xdr:colOff>371475</xdr:colOff>
          <xdr:row>7</xdr:row>
          <xdr:rowOff>47625</xdr:rowOff>
        </xdr:to>
        <xdr:sp macro="" textlink="">
          <xdr:nvSpPr>
            <xdr:cNvPr id="2052" name="Aktualizacj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22267" cy="56263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HS38"/>
  <sheetViews>
    <sheetView zoomScale="90" zoomScaleNormal="90" workbookViewId="0">
      <selection activeCell="E8" sqref="E8"/>
    </sheetView>
  </sheetViews>
  <sheetFormatPr defaultColWidth="15.7109375" defaultRowHeight="12.75" x14ac:dyDescent="0.2"/>
  <cols>
    <col min="1" max="1" width="3" style="32" customWidth="1"/>
    <col min="2" max="2" width="25.42578125" customWidth="1"/>
    <col min="3" max="3" width="19.5703125" customWidth="1"/>
    <col min="4" max="4" width="21.42578125" bestFit="1" customWidth="1"/>
    <col min="5" max="64" width="15.7109375" customWidth="1"/>
  </cols>
  <sheetData>
    <row r="1" spans="1:64" ht="24" customHeight="1" thickBot="1" x14ac:dyDescent="0.25">
      <c r="B1" s="150"/>
    </row>
    <row r="2" spans="1:64" x14ac:dyDescent="0.2">
      <c r="B2" s="75" t="s">
        <v>128</v>
      </c>
      <c r="C2" s="274" t="s">
        <v>128</v>
      </c>
      <c r="D2" s="275"/>
      <c r="F2" s="60" t="s">
        <v>120</v>
      </c>
      <c r="G2" s="266" t="s">
        <v>120</v>
      </c>
      <c r="H2" s="267"/>
      <c r="I2" s="268"/>
    </row>
    <row r="3" spans="1:64" x14ac:dyDescent="0.2">
      <c r="B3" s="42" t="s">
        <v>129</v>
      </c>
      <c r="C3" s="276" t="s">
        <v>165</v>
      </c>
      <c r="D3" s="277"/>
      <c r="F3" s="61" t="s">
        <v>122</v>
      </c>
      <c r="G3" s="269" t="s">
        <v>168</v>
      </c>
      <c r="H3" s="270"/>
      <c r="I3" s="271"/>
    </row>
    <row r="4" spans="1:64" ht="13.5" thickBot="1" x14ac:dyDescent="0.25">
      <c r="B4" s="42" t="s">
        <v>6</v>
      </c>
      <c r="C4" s="276" t="s">
        <v>166</v>
      </c>
      <c r="D4" s="277"/>
      <c r="F4" s="43" t="s">
        <v>134</v>
      </c>
      <c r="G4" s="280" t="s">
        <v>161</v>
      </c>
      <c r="H4" s="280"/>
      <c r="I4" s="281"/>
    </row>
    <row r="5" spans="1:64" ht="13.5" thickBot="1" x14ac:dyDescent="0.25">
      <c r="B5" s="43" t="s">
        <v>7</v>
      </c>
      <c r="C5" s="278" t="s">
        <v>167</v>
      </c>
      <c r="D5" s="279"/>
    </row>
    <row r="6" spans="1:64" ht="13.5" thickBot="1" x14ac:dyDescent="0.25">
      <c r="B6" s="29"/>
      <c r="C6" s="30"/>
      <c r="D6" s="30"/>
      <c r="F6" s="31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</row>
    <row r="7" spans="1:64" s="40" customFormat="1" ht="13.5" thickBot="1" x14ac:dyDescent="0.25">
      <c r="D7" s="102" t="s">
        <v>14</v>
      </c>
      <c r="E7" s="95" t="s">
        <v>15</v>
      </c>
      <c r="F7" s="35" t="s">
        <v>16</v>
      </c>
      <c r="G7" s="35" t="s">
        <v>17</v>
      </c>
      <c r="H7" s="35" t="s">
        <v>18</v>
      </c>
      <c r="I7" s="35" t="s">
        <v>19</v>
      </c>
      <c r="J7" s="35" t="s">
        <v>20</v>
      </c>
      <c r="K7" s="35" t="s">
        <v>21</v>
      </c>
      <c r="L7" s="35" t="s">
        <v>22</v>
      </c>
      <c r="M7" s="35" t="s">
        <v>23</v>
      </c>
      <c r="N7" s="35" t="s">
        <v>24</v>
      </c>
      <c r="O7" s="35" t="s">
        <v>25</v>
      </c>
      <c r="P7" s="35" t="s">
        <v>26</v>
      </c>
      <c r="Q7" s="35" t="s">
        <v>27</v>
      </c>
      <c r="R7" s="35" t="s">
        <v>28</v>
      </c>
      <c r="S7" s="35" t="s">
        <v>29</v>
      </c>
      <c r="T7" s="35" t="s">
        <v>30</v>
      </c>
      <c r="U7" s="35" t="s">
        <v>31</v>
      </c>
      <c r="V7" s="35" t="s">
        <v>32</v>
      </c>
      <c r="W7" s="35" t="s">
        <v>33</v>
      </c>
      <c r="X7" s="35" t="s">
        <v>34</v>
      </c>
      <c r="Y7" s="35" t="s">
        <v>35</v>
      </c>
      <c r="Z7" s="35" t="s">
        <v>36</v>
      </c>
      <c r="AA7" s="35" t="s">
        <v>37</v>
      </c>
      <c r="AB7" s="35" t="s">
        <v>38</v>
      </c>
      <c r="AC7" s="35" t="s">
        <v>39</v>
      </c>
      <c r="AD7" s="35" t="s">
        <v>40</v>
      </c>
      <c r="AE7" s="35" t="s">
        <v>41</v>
      </c>
      <c r="AF7" s="35" t="s">
        <v>42</v>
      </c>
      <c r="AG7" s="35" t="s">
        <v>43</v>
      </c>
      <c r="AH7" s="35" t="s">
        <v>44</v>
      </c>
      <c r="AI7" s="35" t="s">
        <v>45</v>
      </c>
      <c r="AJ7" s="35" t="s">
        <v>46</v>
      </c>
      <c r="AK7" s="35" t="s">
        <v>47</v>
      </c>
      <c r="AL7" s="35" t="s">
        <v>48</v>
      </c>
      <c r="AM7" s="35" t="s">
        <v>49</v>
      </c>
      <c r="AN7" s="35" t="s">
        <v>50</v>
      </c>
      <c r="AO7" s="35" t="s">
        <v>51</v>
      </c>
      <c r="AP7" s="35" t="s">
        <v>52</v>
      </c>
      <c r="AQ7" s="35" t="s">
        <v>53</v>
      </c>
      <c r="AR7" s="35" t="s">
        <v>54</v>
      </c>
      <c r="AS7" s="35" t="s">
        <v>55</v>
      </c>
      <c r="AT7" s="35" t="s">
        <v>56</v>
      </c>
      <c r="AU7" s="35" t="s">
        <v>57</v>
      </c>
      <c r="AV7" s="35" t="s">
        <v>58</v>
      </c>
      <c r="AW7" s="35" t="s">
        <v>59</v>
      </c>
      <c r="AX7" s="35" t="s">
        <v>60</v>
      </c>
      <c r="AY7" s="35" t="s">
        <v>61</v>
      </c>
      <c r="AZ7" s="35" t="s">
        <v>62</v>
      </c>
      <c r="BA7" s="35" t="s">
        <v>63</v>
      </c>
      <c r="BB7" s="35" t="s">
        <v>64</v>
      </c>
      <c r="BC7" s="35" t="s">
        <v>65</v>
      </c>
      <c r="BD7" s="35" t="s">
        <v>66</v>
      </c>
      <c r="BE7" s="35" t="s">
        <v>67</v>
      </c>
      <c r="BF7" s="35" t="s">
        <v>68</v>
      </c>
      <c r="BG7" s="35" t="s">
        <v>69</v>
      </c>
      <c r="BH7" s="35" t="s">
        <v>70</v>
      </c>
      <c r="BI7" s="35" t="s">
        <v>71</v>
      </c>
      <c r="BJ7" s="35" t="s">
        <v>72</v>
      </c>
      <c r="BK7" s="35" t="s">
        <v>73</v>
      </c>
      <c r="BL7" s="36" t="s">
        <v>74</v>
      </c>
    </row>
    <row r="8" spans="1:64" s="32" customFormat="1" x14ac:dyDescent="0.2">
      <c r="B8" s="272" t="s">
        <v>136</v>
      </c>
      <c r="C8" s="273"/>
      <c r="D8" s="103" t="s">
        <v>125</v>
      </c>
      <c r="E8" s="143">
        <v>43282</v>
      </c>
      <c r="F8" s="143">
        <v>43313</v>
      </c>
      <c r="G8" s="143">
        <v>43344</v>
      </c>
      <c r="H8" s="143">
        <v>43374</v>
      </c>
      <c r="I8" s="143">
        <v>43405</v>
      </c>
      <c r="J8" s="143">
        <v>43435</v>
      </c>
      <c r="K8" s="143">
        <v>43466</v>
      </c>
      <c r="L8" s="143">
        <v>43497</v>
      </c>
      <c r="M8" s="143">
        <v>43525</v>
      </c>
      <c r="N8" s="143">
        <v>43556</v>
      </c>
      <c r="O8" s="143">
        <v>43586</v>
      </c>
      <c r="P8" s="143">
        <v>43617</v>
      </c>
      <c r="Q8" s="143">
        <v>43647</v>
      </c>
      <c r="R8" s="143">
        <v>43678</v>
      </c>
      <c r="S8" s="143">
        <v>43709</v>
      </c>
      <c r="T8" s="143">
        <v>43739</v>
      </c>
      <c r="U8" s="143">
        <v>43770</v>
      </c>
      <c r="V8" s="143">
        <v>43800</v>
      </c>
      <c r="W8" s="143">
        <v>43831</v>
      </c>
      <c r="X8" s="143">
        <v>43862</v>
      </c>
      <c r="Y8" s="143">
        <v>43891</v>
      </c>
      <c r="Z8" s="143">
        <v>43922</v>
      </c>
      <c r="AA8" s="143">
        <v>43952</v>
      </c>
      <c r="AB8" s="143">
        <v>43983</v>
      </c>
      <c r="AC8" s="143">
        <v>44013</v>
      </c>
      <c r="AD8" s="143">
        <v>44044</v>
      </c>
      <c r="AE8" s="143">
        <v>44075</v>
      </c>
      <c r="AF8" s="143">
        <v>44105</v>
      </c>
      <c r="AG8" s="143">
        <v>44136</v>
      </c>
      <c r="AH8" s="143">
        <v>44166</v>
      </c>
      <c r="AI8" s="143">
        <v>44197</v>
      </c>
      <c r="AJ8" s="143">
        <v>44228</v>
      </c>
      <c r="AK8" s="143">
        <v>44256</v>
      </c>
      <c r="AL8" s="143">
        <v>44287</v>
      </c>
      <c r="AM8" s="143">
        <v>44317</v>
      </c>
      <c r="AN8" s="143">
        <v>44348</v>
      </c>
      <c r="AO8" s="143">
        <v>44378</v>
      </c>
      <c r="AP8" s="143">
        <v>44409</v>
      </c>
      <c r="AQ8" s="143">
        <v>44440</v>
      </c>
      <c r="AR8" s="143">
        <v>44470</v>
      </c>
      <c r="AS8" s="143">
        <v>44501</v>
      </c>
      <c r="AT8" s="143">
        <v>44531</v>
      </c>
      <c r="AU8" s="143">
        <v>44562</v>
      </c>
      <c r="AV8" s="143">
        <v>44593</v>
      </c>
      <c r="AW8" s="143">
        <v>44621</v>
      </c>
      <c r="AX8" s="143">
        <v>44652</v>
      </c>
      <c r="AY8" s="143">
        <v>44682</v>
      </c>
      <c r="AZ8" s="143">
        <v>44713</v>
      </c>
      <c r="BA8" s="143">
        <v>44743</v>
      </c>
      <c r="BB8" s="143">
        <v>44774</v>
      </c>
      <c r="BC8" s="143">
        <v>44805</v>
      </c>
      <c r="BD8" s="143">
        <v>44835</v>
      </c>
      <c r="BE8" s="143">
        <v>44866</v>
      </c>
      <c r="BF8" s="143">
        <v>44896</v>
      </c>
      <c r="BG8" s="143">
        <v>44927</v>
      </c>
      <c r="BH8" s="143">
        <v>44958</v>
      </c>
      <c r="BI8" s="143">
        <v>44986</v>
      </c>
      <c r="BJ8" s="143">
        <v>45017</v>
      </c>
      <c r="BK8" s="143">
        <v>45047</v>
      </c>
      <c r="BL8" s="143">
        <v>45078</v>
      </c>
    </row>
    <row r="9" spans="1:64" s="32" customFormat="1" ht="18" x14ac:dyDescent="0.25">
      <c r="A9" s="76"/>
      <c r="B9" s="91" t="s">
        <v>8</v>
      </c>
      <c r="C9" s="136">
        <f>SUM(D9:BL9)</f>
        <v>0</v>
      </c>
      <c r="D9" s="104">
        <v>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5"/>
      <c r="AZ9" s="115"/>
      <c r="BA9" s="115"/>
      <c r="BB9" s="115"/>
      <c r="BC9" s="115"/>
      <c r="BD9" s="115"/>
      <c r="BE9" s="115"/>
      <c r="BF9" s="115"/>
      <c r="BG9" s="115"/>
      <c r="BH9" s="115"/>
      <c r="BI9" s="115"/>
      <c r="BJ9" s="115"/>
      <c r="BK9" s="115"/>
      <c r="BL9" s="116"/>
    </row>
    <row r="10" spans="1:64" s="29" customFormat="1" x14ac:dyDescent="0.2">
      <c r="A10" s="76"/>
      <c r="B10" s="91" t="s">
        <v>9</v>
      </c>
      <c r="C10" s="81">
        <f>SUM(D10:BL10)</f>
        <v>0</v>
      </c>
      <c r="D10" s="105">
        <v>0</v>
      </c>
      <c r="E10" s="141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6"/>
    </row>
    <row r="11" spans="1:64" s="32" customFormat="1" x14ac:dyDescent="0.2">
      <c r="A11" s="76"/>
      <c r="B11" s="91" t="s">
        <v>10</v>
      </c>
      <c r="C11" s="78">
        <f>C10-C9</f>
        <v>0</v>
      </c>
      <c r="D11" s="106">
        <f>D10-D9</f>
        <v>0</v>
      </c>
      <c r="E11" s="96">
        <f>D9+E9-D10-E10</f>
        <v>0</v>
      </c>
      <c r="F11" s="33">
        <f>E11+F9-F10</f>
        <v>0</v>
      </c>
      <c r="G11" s="33">
        <f t="shared" ref="G11:BL11" si="0">F11+G9-G10</f>
        <v>0</v>
      </c>
      <c r="H11" s="33">
        <f t="shared" si="0"/>
        <v>0</v>
      </c>
      <c r="I11" s="33">
        <f t="shared" si="0"/>
        <v>0</v>
      </c>
      <c r="J11" s="33">
        <f t="shared" si="0"/>
        <v>0</v>
      </c>
      <c r="K11" s="33">
        <f t="shared" si="0"/>
        <v>0</v>
      </c>
      <c r="L11" s="33">
        <f t="shared" si="0"/>
        <v>0</v>
      </c>
      <c r="M11" s="33">
        <f t="shared" si="0"/>
        <v>0</v>
      </c>
      <c r="N11" s="33">
        <f t="shared" si="0"/>
        <v>0</v>
      </c>
      <c r="O11" s="33">
        <f t="shared" si="0"/>
        <v>0</v>
      </c>
      <c r="P11" s="33">
        <f t="shared" si="0"/>
        <v>0</v>
      </c>
      <c r="Q11" s="33">
        <f t="shared" si="0"/>
        <v>0</v>
      </c>
      <c r="R11" s="33">
        <f t="shared" si="0"/>
        <v>0</v>
      </c>
      <c r="S11" s="33">
        <f t="shared" si="0"/>
        <v>0</v>
      </c>
      <c r="T11" s="33">
        <f t="shared" si="0"/>
        <v>0</v>
      </c>
      <c r="U11" s="33">
        <f t="shared" si="0"/>
        <v>0</v>
      </c>
      <c r="V11" s="33">
        <f t="shared" si="0"/>
        <v>0</v>
      </c>
      <c r="W11" s="33">
        <f t="shared" si="0"/>
        <v>0</v>
      </c>
      <c r="X11" s="33">
        <f t="shared" si="0"/>
        <v>0</v>
      </c>
      <c r="Y11" s="33">
        <f t="shared" si="0"/>
        <v>0</v>
      </c>
      <c r="Z11" s="33">
        <f t="shared" si="0"/>
        <v>0</v>
      </c>
      <c r="AA11" s="33">
        <f t="shared" si="0"/>
        <v>0</v>
      </c>
      <c r="AB11" s="33">
        <f t="shared" si="0"/>
        <v>0</v>
      </c>
      <c r="AC11" s="33">
        <f t="shared" si="0"/>
        <v>0</v>
      </c>
      <c r="AD11" s="33">
        <f t="shared" si="0"/>
        <v>0</v>
      </c>
      <c r="AE11" s="33">
        <f t="shared" si="0"/>
        <v>0</v>
      </c>
      <c r="AF11" s="33">
        <f t="shared" si="0"/>
        <v>0</v>
      </c>
      <c r="AG11" s="33">
        <f t="shared" si="0"/>
        <v>0</v>
      </c>
      <c r="AH11" s="33">
        <f t="shared" si="0"/>
        <v>0</v>
      </c>
      <c r="AI11" s="33">
        <f t="shared" si="0"/>
        <v>0</v>
      </c>
      <c r="AJ11" s="33">
        <f t="shared" si="0"/>
        <v>0</v>
      </c>
      <c r="AK11" s="33">
        <f t="shared" si="0"/>
        <v>0</v>
      </c>
      <c r="AL11" s="33">
        <f t="shared" si="0"/>
        <v>0</v>
      </c>
      <c r="AM11" s="33">
        <f t="shared" si="0"/>
        <v>0</v>
      </c>
      <c r="AN11" s="33">
        <f t="shared" si="0"/>
        <v>0</v>
      </c>
      <c r="AO11" s="33">
        <f t="shared" si="0"/>
        <v>0</v>
      </c>
      <c r="AP11" s="33">
        <f t="shared" si="0"/>
        <v>0</v>
      </c>
      <c r="AQ11" s="33">
        <f t="shared" si="0"/>
        <v>0</v>
      </c>
      <c r="AR11" s="33">
        <f t="shared" si="0"/>
        <v>0</v>
      </c>
      <c r="AS11" s="33">
        <f t="shared" si="0"/>
        <v>0</v>
      </c>
      <c r="AT11" s="33">
        <f t="shared" si="0"/>
        <v>0</v>
      </c>
      <c r="AU11" s="33">
        <f t="shared" si="0"/>
        <v>0</v>
      </c>
      <c r="AV11" s="33">
        <f t="shared" si="0"/>
        <v>0</v>
      </c>
      <c r="AW11" s="33">
        <f t="shared" si="0"/>
        <v>0</v>
      </c>
      <c r="AX11" s="33">
        <f t="shared" si="0"/>
        <v>0</v>
      </c>
      <c r="AY11" s="33">
        <f t="shared" si="0"/>
        <v>0</v>
      </c>
      <c r="AZ11" s="33">
        <f t="shared" si="0"/>
        <v>0</v>
      </c>
      <c r="BA11" s="33">
        <f t="shared" si="0"/>
        <v>0</v>
      </c>
      <c r="BB11" s="33">
        <f t="shared" si="0"/>
        <v>0</v>
      </c>
      <c r="BC11" s="33">
        <f t="shared" si="0"/>
        <v>0</v>
      </c>
      <c r="BD11" s="33">
        <f t="shared" si="0"/>
        <v>0</v>
      </c>
      <c r="BE11" s="33">
        <f t="shared" si="0"/>
        <v>0</v>
      </c>
      <c r="BF11" s="33">
        <f t="shared" si="0"/>
        <v>0</v>
      </c>
      <c r="BG11" s="33">
        <f t="shared" si="0"/>
        <v>0</v>
      </c>
      <c r="BH11" s="33">
        <f t="shared" si="0"/>
        <v>0</v>
      </c>
      <c r="BI11" s="33">
        <f t="shared" si="0"/>
        <v>0</v>
      </c>
      <c r="BJ11" s="33">
        <f t="shared" si="0"/>
        <v>0</v>
      </c>
      <c r="BK11" s="33">
        <f t="shared" si="0"/>
        <v>0</v>
      </c>
      <c r="BL11" s="34">
        <f t="shared" si="0"/>
        <v>0</v>
      </c>
    </row>
    <row r="12" spans="1:64" s="48" customFormat="1" ht="11.25" x14ac:dyDescent="0.2">
      <c r="A12" s="77"/>
      <c r="B12" s="92"/>
      <c r="C12" s="79" t="str">
        <f>IF(C11=0," ","Revise your receipts")</f>
        <v xml:space="preserve"> </v>
      </c>
      <c r="D12" s="107" t="str">
        <f>IF(D11=0," ","Allocate above cash")</f>
        <v xml:space="preserve"> </v>
      </c>
      <c r="E12" s="97" t="str">
        <f t="shared" ref="E12:BL12" si="1">IF(E11=0," ","Allocate above cash")</f>
        <v xml:space="preserve"> </v>
      </c>
      <c r="F12" s="37" t="str">
        <f t="shared" si="1"/>
        <v xml:space="preserve"> </v>
      </c>
      <c r="G12" s="37" t="str">
        <f t="shared" si="1"/>
        <v xml:space="preserve"> </v>
      </c>
      <c r="H12" s="37" t="str">
        <f t="shared" si="1"/>
        <v xml:space="preserve"> </v>
      </c>
      <c r="I12" s="37" t="str">
        <f t="shared" si="1"/>
        <v xml:space="preserve"> </v>
      </c>
      <c r="J12" s="37" t="str">
        <f t="shared" si="1"/>
        <v xml:space="preserve"> </v>
      </c>
      <c r="K12" s="37" t="str">
        <f t="shared" si="1"/>
        <v xml:space="preserve"> </v>
      </c>
      <c r="L12" s="37" t="str">
        <f t="shared" si="1"/>
        <v xml:space="preserve"> </v>
      </c>
      <c r="M12" s="37" t="str">
        <f t="shared" si="1"/>
        <v xml:space="preserve"> </v>
      </c>
      <c r="N12" s="37" t="str">
        <f t="shared" si="1"/>
        <v xml:space="preserve"> </v>
      </c>
      <c r="O12" s="37" t="str">
        <f t="shared" si="1"/>
        <v xml:space="preserve"> </v>
      </c>
      <c r="P12" s="37" t="str">
        <f t="shared" si="1"/>
        <v xml:space="preserve"> </v>
      </c>
      <c r="Q12" s="37" t="str">
        <f t="shared" si="1"/>
        <v xml:space="preserve"> </v>
      </c>
      <c r="R12" s="37" t="str">
        <f t="shared" si="1"/>
        <v xml:space="preserve"> </v>
      </c>
      <c r="S12" s="37" t="str">
        <f t="shared" si="1"/>
        <v xml:space="preserve"> </v>
      </c>
      <c r="T12" s="37" t="str">
        <f t="shared" si="1"/>
        <v xml:space="preserve"> </v>
      </c>
      <c r="U12" s="37" t="str">
        <f t="shared" si="1"/>
        <v xml:space="preserve"> </v>
      </c>
      <c r="V12" s="37" t="str">
        <f t="shared" si="1"/>
        <v xml:space="preserve"> </v>
      </c>
      <c r="W12" s="37" t="str">
        <f t="shared" si="1"/>
        <v xml:space="preserve"> </v>
      </c>
      <c r="X12" s="37" t="str">
        <f t="shared" si="1"/>
        <v xml:space="preserve"> </v>
      </c>
      <c r="Y12" s="37" t="str">
        <f t="shared" si="1"/>
        <v xml:space="preserve"> </v>
      </c>
      <c r="Z12" s="37" t="str">
        <f t="shared" si="1"/>
        <v xml:space="preserve"> </v>
      </c>
      <c r="AA12" s="37" t="str">
        <f t="shared" si="1"/>
        <v xml:space="preserve"> </v>
      </c>
      <c r="AB12" s="37" t="str">
        <f t="shared" si="1"/>
        <v xml:space="preserve"> </v>
      </c>
      <c r="AC12" s="37" t="str">
        <f t="shared" si="1"/>
        <v xml:space="preserve"> </v>
      </c>
      <c r="AD12" s="37" t="str">
        <f t="shared" si="1"/>
        <v xml:space="preserve"> </v>
      </c>
      <c r="AE12" s="37" t="str">
        <f t="shared" si="1"/>
        <v xml:space="preserve"> </v>
      </c>
      <c r="AF12" s="37" t="str">
        <f t="shared" si="1"/>
        <v xml:space="preserve"> </v>
      </c>
      <c r="AG12" s="37" t="str">
        <f t="shared" si="1"/>
        <v xml:space="preserve"> </v>
      </c>
      <c r="AH12" s="37" t="str">
        <f t="shared" si="1"/>
        <v xml:space="preserve"> </v>
      </c>
      <c r="AI12" s="37" t="str">
        <f t="shared" si="1"/>
        <v xml:space="preserve"> </v>
      </c>
      <c r="AJ12" s="37" t="str">
        <f t="shared" si="1"/>
        <v xml:space="preserve"> </v>
      </c>
      <c r="AK12" s="37" t="str">
        <f t="shared" si="1"/>
        <v xml:space="preserve"> </v>
      </c>
      <c r="AL12" s="37" t="str">
        <f t="shared" si="1"/>
        <v xml:space="preserve"> </v>
      </c>
      <c r="AM12" s="37" t="str">
        <f t="shared" si="1"/>
        <v xml:space="preserve"> </v>
      </c>
      <c r="AN12" s="37" t="str">
        <f t="shared" si="1"/>
        <v xml:space="preserve"> </v>
      </c>
      <c r="AO12" s="37" t="str">
        <f t="shared" si="1"/>
        <v xml:space="preserve"> </v>
      </c>
      <c r="AP12" s="37" t="str">
        <f t="shared" si="1"/>
        <v xml:space="preserve"> </v>
      </c>
      <c r="AQ12" s="37" t="str">
        <f t="shared" si="1"/>
        <v xml:space="preserve"> </v>
      </c>
      <c r="AR12" s="37" t="str">
        <f t="shared" si="1"/>
        <v xml:space="preserve"> </v>
      </c>
      <c r="AS12" s="37" t="str">
        <f t="shared" si="1"/>
        <v xml:space="preserve"> </v>
      </c>
      <c r="AT12" s="37" t="str">
        <f t="shared" si="1"/>
        <v xml:space="preserve"> </v>
      </c>
      <c r="AU12" s="37" t="str">
        <f t="shared" si="1"/>
        <v xml:space="preserve"> </v>
      </c>
      <c r="AV12" s="37" t="str">
        <f t="shared" si="1"/>
        <v xml:space="preserve"> </v>
      </c>
      <c r="AW12" s="37" t="str">
        <f t="shared" si="1"/>
        <v xml:space="preserve"> </v>
      </c>
      <c r="AX12" s="37" t="str">
        <f t="shared" si="1"/>
        <v xml:space="preserve"> </v>
      </c>
      <c r="AY12" s="37" t="str">
        <f t="shared" si="1"/>
        <v xml:space="preserve"> </v>
      </c>
      <c r="AZ12" s="37" t="str">
        <f t="shared" si="1"/>
        <v xml:space="preserve"> </v>
      </c>
      <c r="BA12" s="37" t="str">
        <f t="shared" si="1"/>
        <v xml:space="preserve"> </v>
      </c>
      <c r="BB12" s="37" t="str">
        <f t="shared" si="1"/>
        <v xml:space="preserve"> </v>
      </c>
      <c r="BC12" s="37" t="str">
        <f t="shared" si="1"/>
        <v xml:space="preserve"> </v>
      </c>
      <c r="BD12" s="37" t="str">
        <f t="shared" si="1"/>
        <v xml:space="preserve"> </v>
      </c>
      <c r="BE12" s="37" t="str">
        <f t="shared" si="1"/>
        <v xml:space="preserve"> </v>
      </c>
      <c r="BF12" s="37" t="str">
        <f t="shared" si="1"/>
        <v xml:space="preserve"> </v>
      </c>
      <c r="BG12" s="37" t="str">
        <f t="shared" si="1"/>
        <v xml:space="preserve"> </v>
      </c>
      <c r="BH12" s="37" t="str">
        <f t="shared" si="1"/>
        <v xml:space="preserve"> </v>
      </c>
      <c r="BI12" s="37" t="str">
        <f t="shared" si="1"/>
        <v xml:space="preserve"> </v>
      </c>
      <c r="BJ12" s="37" t="str">
        <f t="shared" si="1"/>
        <v xml:space="preserve"> </v>
      </c>
      <c r="BK12" s="37" t="str">
        <f t="shared" si="1"/>
        <v xml:space="preserve"> </v>
      </c>
      <c r="BL12" s="44" t="str">
        <f t="shared" si="1"/>
        <v xml:space="preserve"> </v>
      </c>
    </row>
    <row r="13" spans="1:64" s="127" customFormat="1" hidden="1" x14ac:dyDescent="0.2">
      <c r="A13" s="120"/>
      <c r="B13" s="121" t="s">
        <v>140</v>
      </c>
      <c r="C13" s="122"/>
      <c r="D13" s="123"/>
      <c r="E13" s="124">
        <f>D9+E9</f>
        <v>0</v>
      </c>
      <c r="F13" s="125">
        <f>E13+F9</f>
        <v>0</v>
      </c>
      <c r="G13" s="125">
        <f t="shared" ref="G13:BL13" si="2">F13+G9</f>
        <v>0</v>
      </c>
      <c r="H13" s="125">
        <f t="shared" si="2"/>
        <v>0</v>
      </c>
      <c r="I13" s="125">
        <f t="shared" si="2"/>
        <v>0</v>
      </c>
      <c r="J13" s="125">
        <f t="shared" si="2"/>
        <v>0</v>
      </c>
      <c r="K13" s="125">
        <f t="shared" si="2"/>
        <v>0</v>
      </c>
      <c r="L13" s="125">
        <f t="shared" si="2"/>
        <v>0</v>
      </c>
      <c r="M13" s="125">
        <f t="shared" si="2"/>
        <v>0</v>
      </c>
      <c r="N13" s="125">
        <f t="shared" si="2"/>
        <v>0</v>
      </c>
      <c r="O13" s="125">
        <f t="shared" si="2"/>
        <v>0</v>
      </c>
      <c r="P13" s="125">
        <f t="shared" si="2"/>
        <v>0</v>
      </c>
      <c r="Q13" s="125">
        <f t="shared" si="2"/>
        <v>0</v>
      </c>
      <c r="R13" s="125">
        <f t="shared" si="2"/>
        <v>0</v>
      </c>
      <c r="S13" s="125">
        <f t="shared" si="2"/>
        <v>0</v>
      </c>
      <c r="T13" s="125">
        <f t="shared" si="2"/>
        <v>0</v>
      </c>
      <c r="U13" s="125">
        <f t="shared" si="2"/>
        <v>0</v>
      </c>
      <c r="V13" s="125">
        <f t="shared" si="2"/>
        <v>0</v>
      </c>
      <c r="W13" s="125">
        <f t="shared" si="2"/>
        <v>0</v>
      </c>
      <c r="X13" s="125">
        <f t="shared" si="2"/>
        <v>0</v>
      </c>
      <c r="Y13" s="125">
        <f t="shared" si="2"/>
        <v>0</v>
      </c>
      <c r="Z13" s="125">
        <f t="shared" si="2"/>
        <v>0</v>
      </c>
      <c r="AA13" s="125">
        <f t="shared" si="2"/>
        <v>0</v>
      </c>
      <c r="AB13" s="125">
        <f t="shared" si="2"/>
        <v>0</v>
      </c>
      <c r="AC13" s="125">
        <f t="shared" si="2"/>
        <v>0</v>
      </c>
      <c r="AD13" s="125">
        <f t="shared" si="2"/>
        <v>0</v>
      </c>
      <c r="AE13" s="125">
        <f t="shared" si="2"/>
        <v>0</v>
      </c>
      <c r="AF13" s="125">
        <f t="shared" si="2"/>
        <v>0</v>
      </c>
      <c r="AG13" s="125">
        <f t="shared" si="2"/>
        <v>0</v>
      </c>
      <c r="AH13" s="125">
        <f t="shared" si="2"/>
        <v>0</v>
      </c>
      <c r="AI13" s="125">
        <f t="shared" si="2"/>
        <v>0</v>
      </c>
      <c r="AJ13" s="125">
        <f t="shared" si="2"/>
        <v>0</v>
      </c>
      <c r="AK13" s="125">
        <f t="shared" si="2"/>
        <v>0</v>
      </c>
      <c r="AL13" s="125">
        <f t="shared" si="2"/>
        <v>0</v>
      </c>
      <c r="AM13" s="125">
        <f t="shared" si="2"/>
        <v>0</v>
      </c>
      <c r="AN13" s="125">
        <f t="shared" si="2"/>
        <v>0</v>
      </c>
      <c r="AO13" s="125">
        <f t="shared" si="2"/>
        <v>0</v>
      </c>
      <c r="AP13" s="125">
        <f t="shared" si="2"/>
        <v>0</v>
      </c>
      <c r="AQ13" s="125">
        <f t="shared" si="2"/>
        <v>0</v>
      </c>
      <c r="AR13" s="125">
        <f t="shared" si="2"/>
        <v>0</v>
      </c>
      <c r="AS13" s="125">
        <f t="shared" si="2"/>
        <v>0</v>
      </c>
      <c r="AT13" s="125">
        <f t="shared" si="2"/>
        <v>0</v>
      </c>
      <c r="AU13" s="125">
        <f t="shared" si="2"/>
        <v>0</v>
      </c>
      <c r="AV13" s="125">
        <f t="shared" si="2"/>
        <v>0</v>
      </c>
      <c r="AW13" s="125">
        <f t="shared" si="2"/>
        <v>0</v>
      </c>
      <c r="AX13" s="125">
        <f t="shared" si="2"/>
        <v>0</v>
      </c>
      <c r="AY13" s="125">
        <f t="shared" si="2"/>
        <v>0</v>
      </c>
      <c r="AZ13" s="125">
        <f t="shared" si="2"/>
        <v>0</v>
      </c>
      <c r="BA13" s="125">
        <f t="shared" si="2"/>
        <v>0</v>
      </c>
      <c r="BB13" s="125">
        <f t="shared" si="2"/>
        <v>0</v>
      </c>
      <c r="BC13" s="125">
        <f t="shared" si="2"/>
        <v>0</v>
      </c>
      <c r="BD13" s="125">
        <f t="shared" si="2"/>
        <v>0</v>
      </c>
      <c r="BE13" s="125">
        <f t="shared" si="2"/>
        <v>0</v>
      </c>
      <c r="BF13" s="125">
        <f t="shared" si="2"/>
        <v>0</v>
      </c>
      <c r="BG13" s="125">
        <f t="shared" si="2"/>
        <v>0</v>
      </c>
      <c r="BH13" s="125">
        <f t="shared" si="2"/>
        <v>0</v>
      </c>
      <c r="BI13" s="125">
        <f t="shared" si="2"/>
        <v>0</v>
      </c>
      <c r="BJ13" s="125">
        <f t="shared" si="2"/>
        <v>0</v>
      </c>
      <c r="BK13" s="125">
        <f t="shared" si="2"/>
        <v>0</v>
      </c>
      <c r="BL13" s="126">
        <f t="shared" si="2"/>
        <v>0</v>
      </c>
    </row>
    <row r="14" spans="1:64" s="127" customFormat="1" hidden="1" x14ac:dyDescent="0.2">
      <c r="A14" s="120"/>
      <c r="B14" s="121" t="s">
        <v>141</v>
      </c>
      <c r="C14" s="122"/>
      <c r="D14" s="123"/>
      <c r="E14" s="124">
        <f>D10+E10</f>
        <v>0</v>
      </c>
      <c r="F14" s="125">
        <f>E14+F10</f>
        <v>0</v>
      </c>
      <c r="G14" s="125">
        <f t="shared" ref="G14:BL14" si="3">F14+G10</f>
        <v>0</v>
      </c>
      <c r="H14" s="125">
        <f t="shared" si="3"/>
        <v>0</v>
      </c>
      <c r="I14" s="125">
        <f t="shared" si="3"/>
        <v>0</v>
      </c>
      <c r="J14" s="125">
        <f t="shared" si="3"/>
        <v>0</v>
      </c>
      <c r="K14" s="125">
        <f t="shared" si="3"/>
        <v>0</v>
      </c>
      <c r="L14" s="125">
        <f t="shared" si="3"/>
        <v>0</v>
      </c>
      <c r="M14" s="125">
        <f t="shared" si="3"/>
        <v>0</v>
      </c>
      <c r="N14" s="125">
        <f t="shared" si="3"/>
        <v>0</v>
      </c>
      <c r="O14" s="125">
        <f t="shared" si="3"/>
        <v>0</v>
      </c>
      <c r="P14" s="125">
        <f t="shared" si="3"/>
        <v>0</v>
      </c>
      <c r="Q14" s="125">
        <f t="shared" si="3"/>
        <v>0</v>
      </c>
      <c r="R14" s="125">
        <f t="shared" si="3"/>
        <v>0</v>
      </c>
      <c r="S14" s="125">
        <f t="shared" si="3"/>
        <v>0</v>
      </c>
      <c r="T14" s="125">
        <f t="shared" si="3"/>
        <v>0</v>
      </c>
      <c r="U14" s="125">
        <f t="shared" si="3"/>
        <v>0</v>
      </c>
      <c r="V14" s="125">
        <f t="shared" si="3"/>
        <v>0</v>
      </c>
      <c r="W14" s="125">
        <f t="shared" si="3"/>
        <v>0</v>
      </c>
      <c r="X14" s="125">
        <f t="shared" si="3"/>
        <v>0</v>
      </c>
      <c r="Y14" s="125">
        <f t="shared" si="3"/>
        <v>0</v>
      </c>
      <c r="Z14" s="125">
        <f t="shared" si="3"/>
        <v>0</v>
      </c>
      <c r="AA14" s="125">
        <f t="shared" si="3"/>
        <v>0</v>
      </c>
      <c r="AB14" s="125">
        <f t="shared" si="3"/>
        <v>0</v>
      </c>
      <c r="AC14" s="125">
        <f t="shared" si="3"/>
        <v>0</v>
      </c>
      <c r="AD14" s="125">
        <f t="shared" si="3"/>
        <v>0</v>
      </c>
      <c r="AE14" s="125">
        <f t="shared" si="3"/>
        <v>0</v>
      </c>
      <c r="AF14" s="125">
        <f t="shared" si="3"/>
        <v>0</v>
      </c>
      <c r="AG14" s="125">
        <f t="shared" si="3"/>
        <v>0</v>
      </c>
      <c r="AH14" s="125">
        <f t="shared" si="3"/>
        <v>0</v>
      </c>
      <c r="AI14" s="125">
        <f t="shared" si="3"/>
        <v>0</v>
      </c>
      <c r="AJ14" s="125">
        <f t="shared" si="3"/>
        <v>0</v>
      </c>
      <c r="AK14" s="125">
        <f t="shared" si="3"/>
        <v>0</v>
      </c>
      <c r="AL14" s="125">
        <f t="shared" si="3"/>
        <v>0</v>
      </c>
      <c r="AM14" s="125">
        <f t="shared" si="3"/>
        <v>0</v>
      </c>
      <c r="AN14" s="125">
        <f t="shared" si="3"/>
        <v>0</v>
      </c>
      <c r="AO14" s="125">
        <f t="shared" si="3"/>
        <v>0</v>
      </c>
      <c r="AP14" s="125">
        <f t="shared" si="3"/>
        <v>0</v>
      </c>
      <c r="AQ14" s="125">
        <f t="shared" si="3"/>
        <v>0</v>
      </c>
      <c r="AR14" s="125">
        <f t="shared" si="3"/>
        <v>0</v>
      </c>
      <c r="AS14" s="125">
        <f t="shared" si="3"/>
        <v>0</v>
      </c>
      <c r="AT14" s="125">
        <f t="shared" si="3"/>
        <v>0</v>
      </c>
      <c r="AU14" s="125">
        <f t="shared" si="3"/>
        <v>0</v>
      </c>
      <c r="AV14" s="125">
        <f t="shared" si="3"/>
        <v>0</v>
      </c>
      <c r="AW14" s="125">
        <f t="shared" si="3"/>
        <v>0</v>
      </c>
      <c r="AX14" s="125">
        <f t="shared" si="3"/>
        <v>0</v>
      </c>
      <c r="AY14" s="125">
        <f t="shared" si="3"/>
        <v>0</v>
      </c>
      <c r="AZ14" s="125">
        <f t="shared" si="3"/>
        <v>0</v>
      </c>
      <c r="BA14" s="125">
        <f t="shared" si="3"/>
        <v>0</v>
      </c>
      <c r="BB14" s="125">
        <f t="shared" si="3"/>
        <v>0</v>
      </c>
      <c r="BC14" s="125">
        <f t="shared" si="3"/>
        <v>0</v>
      </c>
      <c r="BD14" s="125">
        <f t="shared" si="3"/>
        <v>0</v>
      </c>
      <c r="BE14" s="125">
        <f t="shared" si="3"/>
        <v>0</v>
      </c>
      <c r="BF14" s="125">
        <f t="shared" si="3"/>
        <v>0</v>
      </c>
      <c r="BG14" s="125">
        <f t="shared" si="3"/>
        <v>0</v>
      </c>
      <c r="BH14" s="125">
        <f t="shared" si="3"/>
        <v>0</v>
      </c>
      <c r="BI14" s="125">
        <f t="shared" si="3"/>
        <v>0</v>
      </c>
      <c r="BJ14" s="125">
        <f t="shared" si="3"/>
        <v>0</v>
      </c>
      <c r="BK14" s="125">
        <f t="shared" si="3"/>
        <v>0</v>
      </c>
      <c r="BL14" s="126">
        <f t="shared" si="3"/>
        <v>0</v>
      </c>
    </row>
    <row r="15" spans="1:64" s="32" customFormat="1" ht="18" x14ac:dyDescent="0.25">
      <c r="A15" s="76"/>
      <c r="B15" s="91" t="s">
        <v>138</v>
      </c>
      <c r="C15" s="136">
        <f>SUM(D15:BL15)</f>
        <v>11764.900000000009</v>
      </c>
      <c r="D15" s="108">
        <v>0</v>
      </c>
      <c r="E15" s="89">
        <f>Days!R63</f>
        <v>2217</v>
      </c>
      <c r="F15" s="89">
        <f>Days!S63</f>
        <v>510.5</v>
      </c>
      <c r="G15" s="89">
        <f>Days!T63</f>
        <v>919.5</v>
      </c>
      <c r="H15" s="89">
        <f>Days!U63</f>
        <v>1328.5</v>
      </c>
      <c r="I15" s="89">
        <f>Days!V63</f>
        <v>204.5</v>
      </c>
      <c r="J15" s="89">
        <f>Days!W63</f>
        <v>204.5</v>
      </c>
      <c r="K15" s="89">
        <f>Days!X63</f>
        <v>204.5</v>
      </c>
      <c r="L15" s="89">
        <f>Days!Y63</f>
        <v>204.5</v>
      </c>
      <c r="M15" s="89">
        <f>Days!Z63</f>
        <v>204.5</v>
      </c>
      <c r="N15" s="89">
        <f>Days!AA63</f>
        <v>204.5</v>
      </c>
      <c r="O15" s="89">
        <f>Days!AB63</f>
        <v>204.5</v>
      </c>
      <c r="P15" s="89">
        <f>Days!AC63</f>
        <v>204.5</v>
      </c>
      <c r="Q15" s="89">
        <f>Days!AD63</f>
        <v>210.63500000000002</v>
      </c>
      <c r="R15" s="89">
        <f>Days!AE63</f>
        <v>210.63500000000002</v>
      </c>
      <c r="S15" s="89">
        <f>Days!AF63</f>
        <v>210.63500000000002</v>
      </c>
      <c r="T15" s="89">
        <f>Days!AG63</f>
        <v>210.63500000000002</v>
      </c>
      <c r="U15" s="89">
        <f>Days!AH63</f>
        <v>210.63500000000002</v>
      </c>
      <c r="V15" s="89">
        <f>Days!AI63</f>
        <v>210.63500000000002</v>
      </c>
      <c r="W15" s="89">
        <f>Days!AJ63</f>
        <v>210.63500000000002</v>
      </c>
      <c r="X15" s="89">
        <f>Days!AK63</f>
        <v>210.63500000000002</v>
      </c>
      <c r="Y15" s="89">
        <f>Days!AL63</f>
        <v>210.63500000000002</v>
      </c>
      <c r="Z15" s="89">
        <f>Days!AM63</f>
        <v>210.63500000000002</v>
      </c>
      <c r="AA15" s="89">
        <f>Days!AN63</f>
        <v>210.63500000000002</v>
      </c>
      <c r="AB15" s="89">
        <f>Days!AO63</f>
        <v>210.63500000000002</v>
      </c>
      <c r="AC15" s="89">
        <f>Days!AP63</f>
        <v>218.81500000000003</v>
      </c>
      <c r="AD15" s="89">
        <f>Days!AQ63</f>
        <v>218.81500000000003</v>
      </c>
      <c r="AE15" s="89">
        <f>Days!AR63</f>
        <v>218.81500000000003</v>
      </c>
      <c r="AF15" s="89">
        <f>Days!AS63</f>
        <v>218.81500000000003</v>
      </c>
      <c r="AG15" s="89">
        <f>Days!AT63</f>
        <v>218.81500000000003</v>
      </c>
      <c r="AH15" s="89">
        <f>Days!AU63</f>
        <v>218.81500000000003</v>
      </c>
      <c r="AI15" s="89">
        <f>Days!AV63</f>
        <v>218.81500000000003</v>
      </c>
      <c r="AJ15" s="89">
        <f>Days!AW63</f>
        <v>218.81500000000003</v>
      </c>
      <c r="AK15" s="89">
        <f>Days!AX63</f>
        <v>218.81500000000003</v>
      </c>
      <c r="AL15" s="89">
        <f>Days!AY63</f>
        <v>218.81500000000003</v>
      </c>
      <c r="AM15" s="89">
        <f>Days!AZ63</f>
        <v>218.81500000000003</v>
      </c>
      <c r="AN15" s="89">
        <f>Days!BA63</f>
        <v>218.81500000000003</v>
      </c>
      <c r="AO15" s="89">
        <f>Days!BB63</f>
        <v>0</v>
      </c>
      <c r="AP15" s="89">
        <f>Days!BC63</f>
        <v>0</v>
      </c>
      <c r="AQ15" s="89">
        <f>Days!BD63</f>
        <v>0</v>
      </c>
      <c r="AR15" s="89">
        <f>Days!BE63</f>
        <v>0</v>
      </c>
      <c r="AS15" s="89">
        <f>Days!BF63</f>
        <v>0</v>
      </c>
      <c r="AT15" s="89">
        <f>Days!BG63</f>
        <v>0</v>
      </c>
      <c r="AU15" s="89">
        <f>Days!BH63</f>
        <v>0</v>
      </c>
      <c r="AV15" s="89">
        <f>Days!BI63</f>
        <v>0</v>
      </c>
      <c r="AW15" s="89">
        <f>Days!BJ63</f>
        <v>0</v>
      </c>
      <c r="AX15" s="89">
        <f>Days!BK63</f>
        <v>0</v>
      </c>
      <c r="AY15" s="89">
        <f>Days!BL63</f>
        <v>0</v>
      </c>
      <c r="AZ15" s="89">
        <f>Days!BM63</f>
        <v>0</v>
      </c>
      <c r="BA15" s="89">
        <f>Days!BN63</f>
        <v>0</v>
      </c>
      <c r="BB15" s="89">
        <f>Days!BO63</f>
        <v>0</v>
      </c>
      <c r="BC15" s="89">
        <f>Days!BP63</f>
        <v>0</v>
      </c>
      <c r="BD15" s="89">
        <f>Days!BQ63</f>
        <v>0</v>
      </c>
      <c r="BE15" s="89">
        <f>Days!BR63</f>
        <v>0</v>
      </c>
      <c r="BF15" s="89">
        <f>Days!BS63</f>
        <v>0</v>
      </c>
      <c r="BG15" s="89">
        <f>Days!BT63</f>
        <v>0</v>
      </c>
      <c r="BH15" s="89">
        <f>Days!BU63</f>
        <v>0</v>
      </c>
      <c r="BI15" s="89">
        <f>Days!BV63</f>
        <v>0</v>
      </c>
      <c r="BJ15" s="89">
        <f>Days!BW63</f>
        <v>0</v>
      </c>
      <c r="BK15" s="89">
        <f>Days!BX63</f>
        <v>0</v>
      </c>
      <c r="BL15" s="89">
        <f>Days!BY63</f>
        <v>0</v>
      </c>
    </row>
    <row r="16" spans="1:64" s="32" customFormat="1" x14ac:dyDescent="0.2">
      <c r="A16" s="76"/>
      <c r="B16" s="91" t="s">
        <v>139</v>
      </c>
      <c r="C16" s="81">
        <f>SUM(D16:BM16)</f>
        <v>18823.839999999993</v>
      </c>
      <c r="D16" s="108">
        <v>0</v>
      </c>
      <c r="E16" s="89">
        <f>Days!R64</f>
        <v>3547.2000000000003</v>
      </c>
      <c r="F16" s="89">
        <f>Days!S64</f>
        <v>816.80000000000007</v>
      </c>
      <c r="G16" s="89">
        <f>Days!T64</f>
        <v>1471.2</v>
      </c>
      <c r="H16" s="89">
        <f>Days!U64</f>
        <v>2125.6</v>
      </c>
      <c r="I16" s="89">
        <f>Days!V64</f>
        <v>327.20000000000005</v>
      </c>
      <c r="J16" s="89">
        <f>Days!W64</f>
        <v>327.20000000000005</v>
      </c>
      <c r="K16" s="89">
        <f>Days!X64</f>
        <v>327.20000000000005</v>
      </c>
      <c r="L16" s="89">
        <f>Days!Y64</f>
        <v>327.20000000000005</v>
      </c>
      <c r="M16" s="89">
        <f>Days!Z64</f>
        <v>327.20000000000005</v>
      </c>
      <c r="N16" s="89">
        <f>Days!AA64</f>
        <v>327.20000000000005</v>
      </c>
      <c r="O16" s="89">
        <f>Days!AB64</f>
        <v>327.20000000000005</v>
      </c>
      <c r="P16" s="89">
        <f>Days!AC64</f>
        <v>327.20000000000005</v>
      </c>
      <c r="Q16" s="89">
        <f>Days!AD64</f>
        <v>337.01600000000008</v>
      </c>
      <c r="R16" s="89">
        <f>Days!AE64</f>
        <v>337.01600000000008</v>
      </c>
      <c r="S16" s="89">
        <f>Days!AF64</f>
        <v>337.01600000000008</v>
      </c>
      <c r="T16" s="89">
        <f>Days!AG64</f>
        <v>337.01600000000008</v>
      </c>
      <c r="U16" s="89">
        <f>Days!AH64</f>
        <v>337.01600000000008</v>
      </c>
      <c r="V16" s="89">
        <f>Days!AI64</f>
        <v>337.01600000000008</v>
      </c>
      <c r="W16" s="89">
        <f>Days!AJ64</f>
        <v>337.01600000000008</v>
      </c>
      <c r="X16" s="89">
        <f>Days!AK64</f>
        <v>337.01600000000008</v>
      </c>
      <c r="Y16" s="89">
        <f>Days!AL64</f>
        <v>337.01600000000008</v>
      </c>
      <c r="Z16" s="89">
        <f>Days!AM64</f>
        <v>337.01600000000008</v>
      </c>
      <c r="AA16" s="89">
        <f>Days!AN64</f>
        <v>337.01600000000008</v>
      </c>
      <c r="AB16" s="89">
        <f>Days!AO64</f>
        <v>337.01600000000008</v>
      </c>
      <c r="AC16" s="89">
        <f>Days!AP64</f>
        <v>350.10400000000004</v>
      </c>
      <c r="AD16" s="89">
        <f>Days!AQ64</f>
        <v>350.10400000000004</v>
      </c>
      <c r="AE16" s="89">
        <f>Days!AR64</f>
        <v>350.10400000000004</v>
      </c>
      <c r="AF16" s="89">
        <f>Days!AS64</f>
        <v>350.10400000000004</v>
      </c>
      <c r="AG16" s="89">
        <f>Days!AT64</f>
        <v>350.10400000000004</v>
      </c>
      <c r="AH16" s="89">
        <f>Days!AU64</f>
        <v>350.10400000000004</v>
      </c>
      <c r="AI16" s="89">
        <f>Days!AV64</f>
        <v>350.10400000000004</v>
      </c>
      <c r="AJ16" s="89">
        <f>Days!AW64</f>
        <v>350.10400000000004</v>
      </c>
      <c r="AK16" s="89">
        <f>Days!AX64</f>
        <v>350.10400000000004</v>
      </c>
      <c r="AL16" s="89">
        <f>Days!AY64</f>
        <v>350.10400000000004</v>
      </c>
      <c r="AM16" s="89">
        <f>Days!AZ64</f>
        <v>350.10400000000004</v>
      </c>
      <c r="AN16" s="89">
        <f>Days!BA64</f>
        <v>350.10400000000004</v>
      </c>
      <c r="AO16" s="89">
        <f>Days!BB64</f>
        <v>0</v>
      </c>
      <c r="AP16" s="89">
        <f>Days!BC64</f>
        <v>0</v>
      </c>
      <c r="AQ16" s="89">
        <f>Days!BD64</f>
        <v>0</v>
      </c>
      <c r="AR16" s="89">
        <f>Days!BE64</f>
        <v>0</v>
      </c>
      <c r="AS16" s="89">
        <f>Days!BF64</f>
        <v>0</v>
      </c>
      <c r="AT16" s="89">
        <f>Days!BG64</f>
        <v>0</v>
      </c>
      <c r="AU16" s="89">
        <f>Days!BH64</f>
        <v>0</v>
      </c>
      <c r="AV16" s="89">
        <f>Days!BI64</f>
        <v>0</v>
      </c>
      <c r="AW16" s="89">
        <f>Days!BJ64</f>
        <v>0</v>
      </c>
      <c r="AX16" s="89">
        <f>Days!BK64</f>
        <v>0</v>
      </c>
      <c r="AY16" s="89">
        <f>Days!BL64</f>
        <v>0</v>
      </c>
      <c r="AZ16" s="89">
        <f>Days!BM64</f>
        <v>0</v>
      </c>
      <c r="BA16" s="89">
        <f>Days!BN64</f>
        <v>0</v>
      </c>
      <c r="BB16" s="89">
        <f>Days!BO64</f>
        <v>0</v>
      </c>
      <c r="BC16" s="89">
        <f>Days!BP64</f>
        <v>0</v>
      </c>
      <c r="BD16" s="89">
        <f>Days!BQ64</f>
        <v>0</v>
      </c>
      <c r="BE16" s="89">
        <f>Days!BR64</f>
        <v>0</v>
      </c>
      <c r="BF16" s="89">
        <f>Days!BS64</f>
        <v>0</v>
      </c>
      <c r="BG16" s="89">
        <f>Days!BT64</f>
        <v>0</v>
      </c>
      <c r="BH16" s="89">
        <f>Days!BU64</f>
        <v>0</v>
      </c>
      <c r="BI16" s="89">
        <f>Days!BV64</f>
        <v>0</v>
      </c>
      <c r="BJ16" s="89">
        <f>Days!BW64</f>
        <v>0</v>
      </c>
      <c r="BK16" s="89">
        <f>Days!BX64</f>
        <v>0</v>
      </c>
      <c r="BL16" s="89">
        <f>Days!BY64</f>
        <v>0</v>
      </c>
    </row>
    <row r="17" spans="1:227" s="49" customFormat="1" x14ac:dyDescent="0.2">
      <c r="A17" s="87"/>
      <c r="B17" s="91" t="s">
        <v>137</v>
      </c>
      <c r="C17" s="81">
        <f>SUM(D17:BM17)</f>
        <v>0</v>
      </c>
      <c r="D17" s="104">
        <v>0</v>
      </c>
      <c r="E17" s="89">
        <f>Days!R65</f>
        <v>0</v>
      </c>
      <c r="F17" s="89">
        <f>Days!S65</f>
        <v>0</v>
      </c>
      <c r="G17" s="89">
        <f>Days!T65</f>
        <v>0</v>
      </c>
      <c r="H17" s="89">
        <f>Days!U65</f>
        <v>0</v>
      </c>
      <c r="I17" s="89">
        <f>Days!V65</f>
        <v>0</v>
      </c>
      <c r="J17" s="89">
        <f>Days!W65</f>
        <v>0</v>
      </c>
      <c r="K17" s="89">
        <f>Days!X65</f>
        <v>0</v>
      </c>
      <c r="L17" s="89">
        <f>Days!Y65</f>
        <v>0</v>
      </c>
      <c r="M17" s="89">
        <f>Days!Z65</f>
        <v>0</v>
      </c>
      <c r="N17" s="89">
        <f>Days!AA65</f>
        <v>0</v>
      </c>
      <c r="O17" s="89">
        <f>Days!AB65</f>
        <v>0</v>
      </c>
      <c r="P17" s="89">
        <f>Days!AC65</f>
        <v>0</v>
      </c>
      <c r="Q17" s="89">
        <f>Days!AD65</f>
        <v>0</v>
      </c>
      <c r="R17" s="89">
        <f>Days!AE65</f>
        <v>0</v>
      </c>
      <c r="S17" s="89">
        <f>Days!AF65</f>
        <v>0</v>
      </c>
      <c r="T17" s="89">
        <f>Days!AG65</f>
        <v>0</v>
      </c>
      <c r="U17" s="89">
        <f>Days!AH65</f>
        <v>0</v>
      </c>
      <c r="V17" s="89">
        <f>Days!AI65</f>
        <v>0</v>
      </c>
      <c r="W17" s="89">
        <f>Days!AJ65</f>
        <v>0</v>
      </c>
      <c r="X17" s="89">
        <f>Days!AK65</f>
        <v>0</v>
      </c>
      <c r="Y17" s="89">
        <f>Days!AL65</f>
        <v>0</v>
      </c>
      <c r="Z17" s="89">
        <f>Days!AM65</f>
        <v>0</v>
      </c>
      <c r="AA17" s="89">
        <f>Days!AN65</f>
        <v>0</v>
      </c>
      <c r="AB17" s="89">
        <f>Days!AO65</f>
        <v>0</v>
      </c>
      <c r="AC17" s="89">
        <f>Days!AP65</f>
        <v>0</v>
      </c>
      <c r="AD17" s="89">
        <f>Days!AQ65</f>
        <v>0</v>
      </c>
      <c r="AE17" s="89">
        <f>Days!AR65</f>
        <v>0</v>
      </c>
      <c r="AF17" s="89">
        <f>Days!AS65</f>
        <v>0</v>
      </c>
      <c r="AG17" s="89">
        <f>Days!AT65</f>
        <v>0</v>
      </c>
      <c r="AH17" s="89">
        <f>Days!AU65</f>
        <v>0</v>
      </c>
      <c r="AI17" s="89">
        <f>Days!AV65</f>
        <v>0</v>
      </c>
      <c r="AJ17" s="89">
        <f>Days!AW65</f>
        <v>0</v>
      </c>
      <c r="AK17" s="89">
        <f>Days!AX65</f>
        <v>0</v>
      </c>
      <c r="AL17" s="89">
        <f>Days!AY65</f>
        <v>0</v>
      </c>
      <c r="AM17" s="89">
        <f>Days!AZ65</f>
        <v>0</v>
      </c>
      <c r="AN17" s="89">
        <f>Days!BA65</f>
        <v>0</v>
      </c>
      <c r="AO17" s="89">
        <f>Days!BB65</f>
        <v>0</v>
      </c>
      <c r="AP17" s="89">
        <f>Days!BC65</f>
        <v>0</v>
      </c>
      <c r="AQ17" s="89">
        <f>Days!BD65</f>
        <v>0</v>
      </c>
      <c r="AR17" s="89">
        <f>Days!BE65</f>
        <v>0</v>
      </c>
      <c r="AS17" s="89">
        <f>Days!BF65</f>
        <v>0</v>
      </c>
      <c r="AT17" s="89">
        <f>Days!BG65</f>
        <v>0</v>
      </c>
      <c r="AU17" s="89">
        <f>Days!BH65</f>
        <v>0</v>
      </c>
      <c r="AV17" s="89">
        <f>Days!BI65</f>
        <v>0</v>
      </c>
      <c r="AW17" s="89">
        <f>Days!BJ65</f>
        <v>0</v>
      </c>
      <c r="AX17" s="89">
        <f>Days!BK65</f>
        <v>0</v>
      </c>
      <c r="AY17" s="89">
        <f>Days!BL65</f>
        <v>0</v>
      </c>
      <c r="AZ17" s="89">
        <f>Days!BM65</f>
        <v>0</v>
      </c>
      <c r="BA17" s="89">
        <f>Days!BN65</f>
        <v>0</v>
      </c>
      <c r="BB17" s="89">
        <f>Days!BO65</f>
        <v>0</v>
      </c>
      <c r="BC17" s="89">
        <f>Days!BP65</f>
        <v>0</v>
      </c>
      <c r="BD17" s="89">
        <f>Days!BQ65</f>
        <v>0</v>
      </c>
      <c r="BE17" s="89">
        <f>Days!BR65</f>
        <v>0</v>
      </c>
      <c r="BF17" s="89">
        <f>Days!BS65</f>
        <v>0</v>
      </c>
      <c r="BG17" s="89">
        <f>Days!BT65</f>
        <v>0</v>
      </c>
      <c r="BH17" s="89">
        <f>Days!BU65</f>
        <v>0</v>
      </c>
      <c r="BI17" s="89">
        <f>Days!BV65</f>
        <v>0</v>
      </c>
      <c r="BJ17" s="89">
        <f>Days!BW65</f>
        <v>0</v>
      </c>
      <c r="BK17" s="89">
        <f>Days!BX65</f>
        <v>0</v>
      </c>
      <c r="BL17" s="89">
        <f>Days!BY65</f>
        <v>0</v>
      </c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88"/>
      <c r="CE17" s="88"/>
      <c r="CF17" s="88"/>
      <c r="CG17" s="88"/>
      <c r="CH17" s="88"/>
      <c r="CI17" s="88"/>
      <c r="CJ17" s="88"/>
      <c r="CK17" s="88"/>
      <c r="CL17" s="88"/>
      <c r="CM17" s="88"/>
      <c r="CN17" s="88"/>
      <c r="CO17" s="88"/>
      <c r="CP17" s="88"/>
      <c r="CQ17" s="88"/>
      <c r="CR17" s="88"/>
      <c r="CS17" s="88"/>
      <c r="CT17" s="88"/>
      <c r="CU17" s="88"/>
      <c r="CV17" s="88"/>
      <c r="CW17" s="88"/>
      <c r="CX17" s="88"/>
      <c r="CY17" s="88"/>
      <c r="CZ17" s="88"/>
      <c r="DA17" s="88"/>
      <c r="DB17" s="88"/>
      <c r="DC17" s="88"/>
      <c r="DD17" s="88"/>
      <c r="DE17" s="88"/>
      <c r="DF17" s="88"/>
      <c r="DG17" s="88"/>
      <c r="DH17" s="88"/>
      <c r="DI17" s="88"/>
      <c r="DJ17" s="88"/>
      <c r="DK17" s="88"/>
      <c r="DL17" s="88"/>
      <c r="DM17" s="88"/>
      <c r="DN17" s="88"/>
      <c r="DO17" s="88"/>
      <c r="DP17" s="88"/>
      <c r="DQ17" s="88"/>
      <c r="DR17" s="88"/>
      <c r="DS17" s="88"/>
      <c r="DT17" s="88"/>
      <c r="DU17" s="88"/>
      <c r="DV17" s="88"/>
      <c r="DW17" s="88"/>
      <c r="DX17" s="88"/>
      <c r="DY17" s="88"/>
      <c r="DZ17" s="88"/>
      <c r="EA17" s="88"/>
      <c r="EB17" s="88"/>
      <c r="EC17" s="88"/>
      <c r="ED17" s="88"/>
      <c r="EE17" s="88"/>
      <c r="EF17" s="88"/>
      <c r="EG17" s="88"/>
      <c r="EH17" s="88"/>
      <c r="EI17" s="88"/>
      <c r="EJ17" s="88"/>
      <c r="EK17" s="88"/>
      <c r="EL17" s="88"/>
      <c r="EM17" s="88"/>
      <c r="EN17" s="88"/>
      <c r="EO17" s="88"/>
      <c r="EP17" s="88"/>
      <c r="EQ17" s="88"/>
      <c r="ER17" s="88"/>
      <c r="ES17" s="88"/>
      <c r="ET17" s="88"/>
      <c r="EU17" s="88"/>
      <c r="EV17" s="88"/>
      <c r="EW17" s="88"/>
      <c r="EX17" s="88"/>
      <c r="EY17" s="88"/>
      <c r="EZ17" s="88"/>
      <c r="FA17" s="88"/>
      <c r="FB17" s="88"/>
      <c r="FC17" s="88"/>
      <c r="FD17" s="88"/>
      <c r="FE17" s="88"/>
      <c r="FF17" s="88"/>
      <c r="FG17" s="88"/>
      <c r="FH17" s="88"/>
      <c r="FI17" s="88"/>
      <c r="FJ17" s="88"/>
      <c r="FK17" s="88"/>
      <c r="FL17" s="88"/>
      <c r="FM17" s="88"/>
      <c r="FN17" s="88"/>
      <c r="FO17" s="88"/>
      <c r="FP17" s="88"/>
      <c r="FQ17" s="88"/>
      <c r="FR17" s="88"/>
      <c r="FS17" s="88"/>
      <c r="FT17" s="88"/>
      <c r="FU17" s="88"/>
      <c r="FV17" s="88"/>
      <c r="FW17" s="88"/>
      <c r="FX17" s="88"/>
      <c r="FY17" s="88"/>
      <c r="FZ17" s="88"/>
      <c r="GA17" s="88"/>
      <c r="GB17" s="88"/>
      <c r="GC17" s="88"/>
      <c r="GD17" s="88"/>
      <c r="GE17" s="88"/>
      <c r="GF17" s="88"/>
      <c r="GG17" s="88"/>
      <c r="GH17" s="88"/>
      <c r="GI17" s="88"/>
      <c r="GJ17" s="88"/>
      <c r="GK17" s="88"/>
      <c r="GL17" s="88"/>
      <c r="GM17" s="88"/>
      <c r="GN17" s="88"/>
      <c r="GO17" s="88"/>
      <c r="GP17" s="88"/>
      <c r="GQ17" s="88"/>
      <c r="GR17" s="88"/>
      <c r="GS17" s="88"/>
      <c r="GT17" s="88"/>
      <c r="GU17" s="88"/>
      <c r="GV17" s="88"/>
      <c r="GW17" s="88"/>
      <c r="GX17" s="88"/>
      <c r="GY17" s="88"/>
      <c r="GZ17" s="88"/>
      <c r="HA17" s="88"/>
      <c r="HB17" s="88"/>
      <c r="HC17" s="88"/>
      <c r="HD17" s="88"/>
      <c r="HE17" s="88"/>
      <c r="HF17" s="88"/>
      <c r="HG17" s="88"/>
      <c r="HH17" s="88"/>
      <c r="HI17" s="88"/>
      <c r="HJ17" s="88"/>
      <c r="HK17" s="88"/>
      <c r="HL17" s="88"/>
      <c r="HM17" s="88"/>
      <c r="HN17" s="88"/>
      <c r="HO17" s="88"/>
      <c r="HP17" s="88"/>
      <c r="HQ17" s="88"/>
      <c r="HR17" s="88"/>
      <c r="HS17" s="88"/>
    </row>
    <row r="18" spans="1:227" s="49" customFormat="1" x14ac:dyDescent="0.2">
      <c r="A18" s="87"/>
      <c r="B18" s="91" t="s">
        <v>143</v>
      </c>
      <c r="C18" s="81">
        <f>C16+C17</f>
        <v>18823.839999999993</v>
      </c>
      <c r="D18" s="108">
        <v>0</v>
      </c>
      <c r="E18" s="89">
        <f t="shared" ref="E18:AJ18" si="4">E17+E16</f>
        <v>3547.2000000000003</v>
      </c>
      <c r="F18" s="45">
        <f t="shared" si="4"/>
        <v>816.80000000000007</v>
      </c>
      <c r="G18" s="45">
        <f t="shared" si="4"/>
        <v>1471.2</v>
      </c>
      <c r="H18" s="45">
        <f t="shared" si="4"/>
        <v>2125.6</v>
      </c>
      <c r="I18" s="45">
        <f t="shared" si="4"/>
        <v>327.20000000000005</v>
      </c>
      <c r="J18" s="45">
        <f t="shared" si="4"/>
        <v>327.20000000000005</v>
      </c>
      <c r="K18" s="45">
        <f t="shared" si="4"/>
        <v>327.20000000000005</v>
      </c>
      <c r="L18" s="45">
        <f t="shared" si="4"/>
        <v>327.20000000000005</v>
      </c>
      <c r="M18" s="45">
        <f t="shared" si="4"/>
        <v>327.20000000000005</v>
      </c>
      <c r="N18" s="45">
        <f t="shared" si="4"/>
        <v>327.20000000000005</v>
      </c>
      <c r="O18" s="45">
        <f t="shared" si="4"/>
        <v>327.20000000000005</v>
      </c>
      <c r="P18" s="45">
        <f t="shared" si="4"/>
        <v>327.20000000000005</v>
      </c>
      <c r="Q18" s="45">
        <f t="shared" si="4"/>
        <v>337.01600000000008</v>
      </c>
      <c r="R18" s="45">
        <f t="shared" si="4"/>
        <v>337.01600000000008</v>
      </c>
      <c r="S18" s="45">
        <f t="shared" si="4"/>
        <v>337.01600000000008</v>
      </c>
      <c r="T18" s="45">
        <f t="shared" si="4"/>
        <v>337.01600000000008</v>
      </c>
      <c r="U18" s="45">
        <f t="shared" si="4"/>
        <v>337.01600000000008</v>
      </c>
      <c r="V18" s="45">
        <f t="shared" si="4"/>
        <v>337.01600000000008</v>
      </c>
      <c r="W18" s="45">
        <f t="shared" si="4"/>
        <v>337.01600000000008</v>
      </c>
      <c r="X18" s="45">
        <f t="shared" si="4"/>
        <v>337.01600000000008</v>
      </c>
      <c r="Y18" s="45">
        <f t="shared" si="4"/>
        <v>337.01600000000008</v>
      </c>
      <c r="Z18" s="45">
        <f t="shared" si="4"/>
        <v>337.01600000000008</v>
      </c>
      <c r="AA18" s="45">
        <f t="shared" si="4"/>
        <v>337.01600000000008</v>
      </c>
      <c r="AB18" s="45">
        <f t="shared" si="4"/>
        <v>337.01600000000008</v>
      </c>
      <c r="AC18" s="45">
        <f t="shared" si="4"/>
        <v>350.10400000000004</v>
      </c>
      <c r="AD18" s="45">
        <f t="shared" si="4"/>
        <v>350.10400000000004</v>
      </c>
      <c r="AE18" s="45">
        <f t="shared" si="4"/>
        <v>350.10400000000004</v>
      </c>
      <c r="AF18" s="45">
        <f t="shared" si="4"/>
        <v>350.10400000000004</v>
      </c>
      <c r="AG18" s="45">
        <f t="shared" si="4"/>
        <v>350.10400000000004</v>
      </c>
      <c r="AH18" s="45">
        <f t="shared" si="4"/>
        <v>350.10400000000004</v>
      </c>
      <c r="AI18" s="45">
        <f t="shared" si="4"/>
        <v>350.10400000000004</v>
      </c>
      <c r="AJ18" s="45">
        <f t="shared" si="4"/>
        <v>350.10400000000004</v>
      </c>
      <c r="AK18" s="45">
        <f t="shared" ref="AK18:BL18" si="5">AK17+AK16</f>
        <v>350.10400000000004</v>
      </c>
      <c r="AL18" s="45">
        <f t="shared" si="5"/>
        <v>350.10400000000004</v>
      </c>
      <c r="AM18" s="45">
        <f t="shared" si="5"/>
        <v>350.10400000000004</v>
      </c>
      <c r="AN18" s="45">
        <f t="shared" si="5"/>
        <v>350.10400000000004</v>
      </c>
      <c r="AO18" s="45">
        <f t="shared" si="5"/>
        <v>0</v>
      </c>
      <c r="AP18" s="45">
        <f t="shared" si="5"/>
        <v>0</v>
      </c>
      <c r="AQ18" s="45">
        <f t="shared" si="5"/>
        <v>0</v>
      </c>
      <c r="AR18" s="45">
        <f t="shared" si="5"/>
        <v>0</v>
      </c>
      <c r="AS18" s="45">
        <f t="shared" si="5"/>
        <v>0</v>
      </c>
      <c r="AT18" s="45">
        <f t="shared" si="5"/>
        <v>0</v>
      </c>
      <c r="AU18" s="45">
        <f t="shared" si="5"/>
        <v>0</v>
      </c>
      <c r="AV18" s="45">
        <f t="shared" si="5"/>
        <v>0</v>
      </c>
      <c r="AW18" s="45">
        <f t="shared" si="5"/>
        <v>0</v>
      </c>
      <c r="AX18" s="45">
        <f t="shared" si="5"/>
        <v>0</v>
      </c>
      <c r="AY18" s="45">
        <f t="shared" si="5"/>
        <v>0</v>
      </c>
      <c r="AZ18" s="45">
        <f t="shared" si="5"/>
        <v>0</v>
      </c>
      <c r="BA18" s="45">
        <f t="shared" si="5"/>
        <v>0</v>
      </c>
      <c r="BB18" s="45">
        <f t="shared" si="5"/>
        <v>0</v>
      </c>
      <c r="BC18" s="45">
        <f t="shared" si="5"/>
        <v>0</v>
      </c>
      <c r="BD18" s="45">
        <f t="shared" si="5"/>
        <v>0</v>
      </c>
      <c r="BE18" s="45">
        <f t="shared" si="5"/>
        <v>0</v>
      </c>
      <c r="BF18" s="45">
        <f t="shared" si="5"/>
        <v>0</v>
      </c>
      <c r="BG18" s="45">
        <f t="shared" si="5"/>
        <v>0</v>
      </c>
      <c r="BH18" s="45">
        <f t="shared" si="5"/>
        <v>0</v>
      </c>
      <c r="BI18" s="45">
        <f t="shared" si="5"/>
        <v>0</v>
      </c>
      <c r="BJ18" s="45">
        <f t="shared" si="5"/>
        <v>0</v>
      </c>
      <c r="BK18" s="45">
        <f t="shared" si="5"/>
        <v>0</v>
      </c>
      <c r="BL18" s="45">
        <f t="shared" si="5"/>
        <v>0</v>
      </c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E18" s="88"/>
      <c r="CF18" s="88"/>
      <c r="CG18" s="88"/>
      <c r="CH18" s="88"/>
      <c r="CI18" s="88"/>
      <c r="CJ18" s="88"/>
      <c r="CK18" s="88"/>
      <c r="CL18" s="88"/>
      <c r="CM18" s="88"/>
      <c r="CN18" s="88"/>
      <c r="CO18" s="88"/>
      <c r="CP18" s="88"/>
      <c r="CQ18" s="88"/>
      <c r="CR18" s="88"/>
      <c r="CS18" s="88"/>
      <c r="CT18" s="88"/>
      <c r="CU18" s="88"/>
      <c r="CV18" s="88"/>
      <c r="CW18" s="88"/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8"/>
      <c r="DT18" s="88"/>
      <c r="DU18" s="88"/>
      <c r="DV18" s="88"/>
      <c r="DW18" s="88"/>
      <c r="DX18" s="88"/>
      <c r="DY18" s="88"/>
      <c r="DZ18" s="88"/>
      <c r="EA18" s="88"/>
      <c r="EB18" s="88"/>
      <c r="EC18" s="88"/>
      <c r="ED18" s="88"/>
      <c r="EE18" s="88"/>
      <c r="EF18" s="88"/>
      <c r="EG18" s="88"/>
      <c r="EH18" s="88"/>
      <c r="EI18" s="88"/>
      <c r="EJ18" s="88"/>
      <c r="EK18" s="88"/>
      <c r="EL18" s="88"/>
      <c r="EM18" s="88"/>
      <c r="EN18" s="88"/>
      <c r="EO18" s="88"/>
      <c r="EP18" s="88"/>
      <c r="EQ18" s="88"/>
      <c r="ER18" s="88"/>
      <c r="ES18" s="88"/>
      <c r="ET18" s="88"/>
      <c r="EU18" s="88"/>
      <c r="EV18" s="88"/>
      <c r="EW18" s="88"/>
      <c r="EX18" s="88"/>
      <c r="EY18" s="88"/>
      <c r="EZ18" s="88"/>
      <c r="FA18" s="88"/>
      <c r="FB18" s="88"/>
      <c r="FC18" s="88"/>
      <c r="FD18" s="88"/>
      <c r="FE18" s="88"/>
      <c r="FF18" s="88"/>
      <c r="FG18" s="88"/>
      <c r="FH18" s="88"/>
      <c r="FI18" s="88"/>
      <c r="FJ18" s="88"/>
      <c r="FK18" s="88"/>
      <c r="FL18" s="88"/>
      <c r="FM18" s="88"/>
      <c r="FN18" s="88"/>
      <c r="FO18" s="88"/>
      <c r="FP18" s="88"/>
      <c r="FQ18" s="88"/>
      <c r="FR18" s="88"/>
      <c r="FS18" s="88"/>
      <c r="FT18" s="88"/>
      <c r="FU18" s="88"/>
      <c r="FV18" s="88"/>
      <c r="FW18" s="88"/>
      <c r="FX18" s="88"/>
      <c r="FY18" s="88"/>
      <c r="FZ18" s="88"/>
      <c r="GA18" s="88"/>
      <c r="GB18" s="88"/>
      <c r="GC18" s="88"/>
      <c r="GD18" s="88"/>
      <c r="GE18" s="88"/>
      <c r="GF18" s="88"/>
      <c r="GG18" s="88"/>
      <c r="GH18" s="88"/>
      <c r="GI18" s="88"/>
      <c r="GJ18" s="88"/>
      <c r="GK18" s="88"/>
      <c r="GL18" s="88"/>
      <c r="GM18" s="88"/>
      <c r="GN18" s="88"/>
      <c r="GO18" s="88"/>
      <c r="GP18" s="88"/>
      <c r="GQ18" s="88"/>
      <c r="GR18" s="88"/>
      <c r="GS18" s="88"/>
      <c r="GT18" s="88"/>
      <c r="GU18" s="88"/>
      <c r="GV18" s="88"/>
      <c r="GW18" s="88"/>
      <c r="GX18" s="88"/>
      <c r="GY18" s="88"/>
      <c r="GZ18" s="88"/>
      <c r="HA18" s="88"/>
      <c r="HB18" s="88"/>
      <c r="HC18" s="88"/>
      <c r="HD18" s="88"/>
      <c r="HE18" s="88"/>
      <c r="HF18" s="88"/>
      <c r="HG18" s="88"/>
      <c r="HH18" s="88"/>
      <c r="HI18" s="88"/>
      <c r="HJ18" s="88"/>
      <c r="HK18" s="88"/>
      <c r="HL18" s="88"/>
      <c r="HM18" s="88"/>
      <c r="HN18" s="88"/>
      <c r="HO18" s="88"/>
      <c r="HP18" s="88"/>
      <c r="HQ18" s="88"/>
      <c r="HR18" s="88"/>
      <c r="HS18" s="88"/>
    </row>
    <row r="19" spans="1:227" s="49" customFormat="1" x14ac:dyDescent="0.2">
      <c r="A19" s="87"/>
      <c r="B19" s="91" t="s">
        <v>156</v>
      </c>
      <c r="C19" s="81">
        <f t="shared" ref="C19:AH19" si="6">C15+C18</f>
        <v>30588.74</v>
      </c>
      <c r="D19" s="118">
        <f t="shared" si="6"/>
        <v>0</v>
      </c>
      <c r="E19" s="118">
        <f t="shared" si="6"/>
        <v>5764.2000000000007</v>
      </c>
      <c r="F19" s="118">
        <f t="shared" si="6"/>
        <v>1327.3000000000002</v>
      </c>
      <c r="G19" s="118">
        <f t="shared" si="6"/>
        <v>2390.6999999999998</v>
      </c>
      <c r="H19" s="118">
        <f t="shared" si="6"/>
        <v>3454.1</v>
      </c>
      <c r="I19" s="118">
        <f t="shared" si="6"/>
        <v>531.70000000000005</v>
      </c>
      <c r="J19" s="118">
        <f t="shared" si="6"/>
        <v>531.70000000000005</v>
      </c>
      <c r="K19" s="118">
        <f t="shared" si="6"/>
        <v>531.70000000000005</v>
      </c>
      <c r="L19" s="118">
        <f t="shared" si="6"/>
        <v>531.70000000000005</v>
      </c>
      <c r="M19" s="118">
        <f t="shared" si="6"/>
        <v>531.70000000000005</v>
      </c>
      <c r="N19" s="118">
        <f t="shared" si="6"/>
        <v>531.70000000000005</v>
      </c>
      <c r="O19" s="118">
        <f t="shared" si="6"/>
        <v>531.70000000000005</v>
      </c>
      <c r="P19" s="118">
        <f t="shared" si="6"/>
        <v>531.70000000000005</v>
      </c>
      <c r="Q19" s="118">
        <f t="shared" si="6"/>
        <v>547.65100000000007</v>
      </c>
      <c r="R19" s="118">
        <f t="shared" si="6"/>
        <v>547.65100000000007</v>
      </c>
      <c r="S19" s="118">
        <f t="shared" si="6"/>
        <v>547.65100000000007</v>
      </c>
      <c r="T19" s="118">
        <f t="shared" si="6"/>
        <v>547.65100000000007</v>
      </c>
      <c r="U19" s="118">
        <f t="shared" si="6"/>
        <v>547.65100000000007</v>
      </c>
      <c r="V19" s="118">
        <f t="shared" si="6"/>
        <v>547.65100000000007</v>
      </c>
      <c r="W19" s="118">
        <f t="shared" si="6"/>
        <v>547.65100000000007</v>
      </c>
      <c r="X19" s="118">
        <f t="shared" si="6"/>
        <v>547.65100000000007</v>
      </c>
      <c r="Y19" s="118">
        <f t="shared" si="6"/>
        <v>547.65100000000007</v>
      </c>
      <c r="Z19" s="118">
        <f t="shared" si="6"/>
        <v>547.65100000000007</v>
      </c>
      <c r="AA19" s="118">
        <f t="shared" si="6"/>
        <v>547.65100000000007</v>
      </c>
      <c r="AB19" s="118">
        <f t="shared" si="6"/>
        <v>547.65100000000007</v>
      </c>
      <c r="AC19" s="118">
        <f t="shared" si="6"/>
        <v>568.9190000000001</v>
      </c>
      <c r="AD19" s="118">
        <f t="shared" si="6"/>
        <v>568.9190000000001</v>
      </c>
      <c r="AE19" s="118">
        <f t="shared" si="6"/>
        <v>568.9190000000001</v>
      </c>
      <c r="AF19" s="118">
        <f t="shared" si="6"/>
        <v>568.9190000000001</v>
      </c>
      <c r="AG19" s="118">
        <f t="shared" si="6"/>
        <v>568.9190000000001</v>
      </c>
      <c r="AH19" s="118">
        <f t="shared" si="6"/>
        <v>568.9190000000001</v>
      </c>
      <c r="AI19" s="118">
        <f t="shared" ref="AI19:BL19" si="7">AI15+AI18</f>
        <v>568.9190000000001</v>
      </c>
      <c r="AJ19" s="118">
        <f t="shared" si="7"/>
        <v>568.9190000000001</v>
      </c>
      <c r="AK19" s="118">
        <f t="shared" si="7"/>
        <v>568.9190000000001</v>
      </c>
      <c r="AL19" s="118">
        <f t="shared" si="7"/>
        <v>568.9190000000001</v>
      </c>
      <c r="AM19" s="118">
        <f t="shared" si="7"/>
        <v>568.9190000000001</v>
      </c>
      <c r="AN19" s="118">
        <f t="shared" si="7"/>
        <v>568.9190000000001</v>
      </c>
      <c r="AO19" s="118">
        <f t="shared" si="7"/>
        <v>0</v>
      </c>
      <c r="AP19" s="118">
        <f t="shared" si="7"/>
        <v>0</v>
      </c>
      <c r="AQ19" s="118">
        <f t="shared" si="7"/>
        <v>0</v>
      </c>
      <c r="AR19" s="118">
        <f t="shared" si="7"/>
        <v>0</v>
      </c>
      <c r="AS19" s="118">
        <f t="shared" si="7"/>
        <v>0</v>
      </c>
      <c r="AT19" s="118">
        <f t="shared" si="7"/>
        <v>0</v>
      </c>
      <c r="AU19" s="118">
        <f t="shared" si="7"/>
        <v>0</v>
      </c>
      <c r="AV19" s="118">
        <f t="shared" si="7"/>
        <v>0</v>
      </c>
      <c r="AW19" s="118">
        <f t="shared" si="7"/>
        <v>0</v>
      </c>
      <c r="AX19" s="118">
        <f t="shared" si="7"/>
        <v>0</v>
      </c>
      <c r="AY19" s="118">
        <f t="shared" si="7"/>
        <v>0</v>
      </c>
      <c r="AZ19" s="118">
        <f t="shared" si="7"/>
        <v>0</v>
      </c>
      <c r="BA19" s="118">
        <f t="shared" si="7"/>
        <v>0</v>
      </c>
      <c r="BB19" s="118">
        <f t="shared" si="7"/>
        <v>0</v>
      </c>
      <c r="BC19" s="118">
        <f t="shared" si="7"/>
        <v>0</v>
      </c>
      <c r="BD19" s="118">
        <f t="shared" si="7"/>
        <v>0</v>
      </c>
      <c r="BE19" s="118">
        <f t="shared" si="7"/>
        <v>0</v>
      </c>
      <c r="BF19" s="118">
        <f t="shared" si="7"/>
        <v>0</v>
      </c>
      <c r="BG19" s="118">
        <f t="shared" si="7"/>
        <v>0</v>
      </c>
      <c r="BH19" s="118">
        <f t="shared" si="7"/>
        <v>0</v>
      </c>
      <c r="BI19" s="118">
        <f t="shared" si="7"/>
        <v>0</v>
      </c>
      <c r="BJ19" s="118">
        <f t="shared" si="7"/>
        <v>0</v>
      </c>
      <c r="BK19" s="118">
        <f t="shared" si="7"/>
        <v>0</v>
      </c>
      <c r="BL19" s="118">
        <f t="shared" si="7"/>
        <v>0</v>
      </c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8"/>
      <c r="CC19" s="88"/>
      <c r="CD19" s="88"/>
      <c r="CE19" s="88"/>
      <c r="CF19" s="88"/>
      <c r="CG19" s="88"/>
      <c r="CH19" s="88"/>
      <c r="CI19" s="88"/>
      <c r="CJ19" s="88"/>
      <c r="CK19" s="88"/>
      <c r="CL19" s="88"/>
      <c r="CM19" s="88"/>
      <c r="CN19" s="88"/>
      <c r="CO19" s="88"/>
      <c r="CP19" s="88"/>
      <c r="CQ19" s="88"/>
      <c r="CR19" s="88"/>
      <c r="CS19" s="88"/>
      <c r="CT19" s="88"/>
      <c r="CU19" s="88"/>
      <c r="CV19" s="88"/>
      <c r="CW19" s="88"/>
      <c r="CX19" s="88"/>
      <c r="CY19" s="88"/>
      <c r="CZ19" s="88"/>
      <c r="DA19" s="88"/>
      <c r="DB19" s="88"/>
      <c r="DC19" s="88"/>
      <c r="DD19" s="88"/>
      <c r="DE19" s="88"/>
      <c r="DF19" s="88"/>
      <c r="DG19" s="88"/>
      <c r="DH19" s="88"/>
      <c r="DI19" s="88"/>
      <c r="DJ19" s="88"/>
      <c r="DK19" s="88"/>
      <c r="DL19" s="88"/>
      <c r="DM19" s="88"/>
      <c r="DN19" s="88"/>
      <c r="DO19" s="88"/>
      <c r="DP19" s="88"/>
      <c r="DQ19" s="88"/>
      <c r="DR19" s="88"/>
      <c r="DS19" s="88"/>
      <c r="DT19" s="88"/>
      <c r="DU19" s="88"/>
      <c r="DV19" s="88"/>
      <c r="DW19" s="88"/>
      <c r="DX19" s="88"/>
      <c r="DY19" s="88"/>
      <c r="DZ19" s="88"/>
      <c r="EA19" s="88"/>
      <c r="EB19" s="88"/>
      <c r="EC19" s="88"/>
      <c r="ED19" s="88"/>
      <c r="EE19" s="88"/>
      <c r="EF19" s="88"/>
      <c r="EG19" s="88"/>
      <c r="EH19" s="88"/>
      <c r="EI19" s="88"/>
      <c r="EJ19" s="88"/>
      <c r="EK19" s="88"/>
      <c r="EL19" s="88"/>
      <c r="EM19" s="88"/>
      <c r="EN19" s="88"/>
      <c r="EO19" s="88"/>
      <c r="EP19" s="88"/>
      <c r="EQ19" s="88"/>
      <c r="ER19" s="88"/>
      <c r="ES19" s="88"/>
      <c r="ET19" s="88"/>
      <c r="EU19" s="88"/>
      <c r="EV19" s="88"/>
      <c r="EW19" s="88"/>
      <c r="EX19" s="88"/>
      <c r="EY19" s="88"/>
      <c r="EZ19" s="88"/>
      <c r="FA19" s="88"/>
      <c r="FB19" s="88"/>
      <c r="FC19" s="88"/>
      <c r="FD19" s="88"/>
      <c r="FE19" s="88"/>
      <c r="FF19" s="88"/>
      <c r="FG19" s="88"/>
      <c r="FH19" s="88"/>
      <c r="FI19" s="88"/>
      <c r="FJ19" s="88"/>
      <c r="FK19" s="88"/>
      <c r="FL19" s="88"/>
      <c r="FM19" s="88"/>
      <c r="FN19" s="88"/>
      <c r="FO19" s="88"/>
      <c r="FP19" s="88"/>
      <c r="FQ19" s="88"/>
      <c r="FR19" s="88"/>
      <c r="FS19" s="88"/>
      <c r="FT19" s="88"/>
      <c r="FU19" s="88"/>
      <c r="FV19" s="88"/>
      <c r="FW19" s="88"/>
      <c r="FX19" s="88"/>
      <c r="FY19" s="88"/>
      <c r="FZ19" s="88"/>
      <c r="GA19" s="88"/>
      <c r="GB19" s="88"/>
      <c r="GC19" s="88"/>
      <c r="GD19" s="88"/>
      <c r="GE19" s="88"/>
      <c r="GF19" s="88"/>
      <c r="GG19" s="88"/>
      <c r="GH19" s="88"/>
      <c r="GI19" s="88"/>
      <c r="GJ19" s="88"/>
      <c r="GK19" s="88"/>
      <c r="GL19" s="88"/>
      <c r="GM19" s="88"/>
      <c r="GN19" s="88"/>
      <c r="GO19" s="88"/>
      <c r="GP19" s="88"/>
      <c r="GQ19" s="88"/>
      <c r="GR19" s="88"/>
      <c r="GS19" s="88"/>
      <c r="GT19" s="88"/>
      <c r="GU19" s="88"/>
      <c r="GV19" s="88"/>
      <c r="GW19" s="88"/>
      <c r="GX19" s="88"/>
      <c r="GY19" s="88"/>
      <c r="GZ19" s="88"/>
      <c r="HA19" s="88"/>
      <c r="HB19" s="88"/>
      <c r="HC19" s="88"/>
      <c r="HD19" s="88"/>
      <c r="HE19" s="88"/>
      <c r="HF19" s="88"/>
      <c r="HG19" s="88"/>
      <c r="HH19" s="88"/>
      <c r="HI19" s="88"/>
      <c r="HJ19" s="88"/>
      <c r="HK19" s="88"/>
      <c r="HL19" s="88"/>
      <c r="HM19" s="88"/>
      <c r="HN19" s="88"/>
      <c r="HO19" s="88"/>
      <c r="HP19" s="88"/>
      <c r="HQ19" s="88"/>
      <c r="HR19" s="88"/>
      <c r="HS19" s="88"/>
    </row>
    <row r="20" spans="1:227" s="32" customFormat="1" x14ac:dyDescent="0.2">
      <c r="A20" s="76"/>
      <c r="B20" s="91" t="s">
        <v>155</v>
      </c>
      <c r="C20" s="94">
        <f>C18/C15</f>
        <v>1.5999999999999983</v>
      </c>
      <c r="D20" s="94" t="e">
        <f>D18/D15</f>
        <v>#DIV/0!</v>
      </c>
      <c r="E20" s="9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46"/>
      <c r="BM20" s="50"/>
    </row>
    <row r="21" spans="1:227" s="32" customFormat="1" ht="18" x14ac:dyDescent="0.25">
      <c r="A21" s="76"/>
      <c r="B21" s="91" t="s">
        <v>142</v>
      </c>
      <c r="C21" s="136">
        <f>D23+SUM(E21:BL21)</f>
        <v>0</v>
      </c>
      <c r="D21" s="109"/>
      <c r="E21" s="89">
        <f>Expenses!F57</f>
        <v>0</v>
      </c>
      <c r="F21" s="6">
        <f>Expenses!G57</f>
        <v>0</v>
      </c>
      <c r="G21" s="6">
        <f>Expenses!H57</f>
        <v>0</v>
      </c>
      <c r="H21" s="6">
        <f>Expenses!I57</f>
        <v>0</v>
      </c>
      <c r="I21" s="6">
        <f>Expenses!J57</f>
        <v>0</v>
      </c>
      <c r="J21" s="6">
        <f>Expenses!K57</f>
        <v>0</v>
      </c>
      <c r="K21" s="6">
        <f>Expenses!L57</f>
        <v>0</v>
      </c>
      <c r="L21" s="6">
        <f>Expenses!M57</f>
        <v>0</v>
      </c>
      <c r="M21" s="6">
        <f>Expenses!N57</f>
        <v>0</v>
      </c>
      <c r="N21" s="6">
        <f>Expenses!O57</f>
        <v>0</v>
      </c>
      <c r="O21" s="6">
        <f>Expenses!P57</f>
        <v>0</v>
      </c>
      <c r="P21" s="6">
        <f>Expenses!Q57</f>
        <v>0</v>
      </c>
      <c r="Q21" s="6">
        <f>Expenses!R57</f>
        <v>0</v>
      </c>
      <c r="R21" s="6">
        <f>Expenses!S57</f>
        <v>0</v>
      </c>
      <c r="S21" s="6">
        <f>Expenses!T57</f>
        <v>0</v>
      </c>
      <c r="T21" s="6">
        <f>Expenses!U57</f>
        <v>0</v>
      </c>
      <c r="U21" s="6">
        <f>Expenses!V57</f>
        <v>0</v>
      </c>
      <c r="V21" s="6">
        <f>Expenses!W57</f>
        <v>0</v>
      </c>
      <c r="W21" s="6">
        <f>Expenses!X57</f>
        <v>0</v>
      </c>
      <c r="X21" s="6">
        <f>Expenses!Y57</f>
        <v>0</v>
      </c>
      <c r="Y21" s="6">
        <f>Expenses!Z57</f>
        <v>0</v>
      </c>
      <c r="Z21" s="6">
        <f>Expenses!AA57</f>
        <v>0</v>
      </c>
      <c r="AA21" s="6">
        <f>Expenses!AB57</f>
        <v>0</v>
      </c>
      <c r="AB21" s="6">
        <f>Expenses!AC57</f>
        <v>0</v>
      </c>
      <c r="AC21" s="6">
        <f>Expenses!AD57</f>
        <v>0</v>
      </c>
      <c r="AD21" s="6">
        <f>Expenses!AE57</f>
        <v>0</v>
      </c>
      <c r="AE21" s="6">
        <f>Expenses!AF57</f>
        <v>0</v>
      </c>
      <c r="AF21" s="6">
        <f>Expenses!AG57</f>
        <v>0</v>
      </c>
      <c r="AG21" s="6">
        <f>Expenses!AH57</f>
        <v>0</v>
      </c>
      <c r="AH21" s="6">
        <f>Expenses!AI57</f>
        <v>0</v>
      </c>
      <c r="AI21" s="6">
        <f>Expenses!AJ57</f>
        <v>0</v>
      </c>
      <c r="AJ21" s="6">
        <f>Expenses!AK57</f>
        <v>0</v>
      </c>
      <c r="AK21" s="6">
        <f>Expenses!AL57</f>
        <v>0</v>
      </c>
      <c r="AL21" s="6">
        <f>Expenses!AM57</f>
        <v>0</v>
      </c>
      <c r="AM21" s="6">
        <f>Expenses!AN57</f>
        <v>0</v>
      </c>
      <c r="AN21" s="6">
        <f>Expenses!AO57</f>
        <v>0</v>
      </c>
      <c r="AO21" s="6">
        <f>Expenses!AP57</f>
        <v>0</v>
      </c>
      <c r="AP21" s="6">
        <f>Expenses!AQ57</f>
        <v>0</v>
      </c>
      <c r="AQ21" s="6">
        <f>Expenses!AR57</f>
        <v>0</v>
      </c>
      <c r="AR21" s="6">
        <f>Expenses!AS57</f>
        <v>0</v>
      </c>
      <c r="AS21" s="6">
        <f>Expenses!AT57</f>
        <v>0</v>
      </c>
      <c r="AT21" s="6">
        <f>Expenses!AU57</f>
        <v>0</v>
      </c>
      <c r="AU21" s="6">
        <f>Expenses!AV57</f>
        <v>0</v>
      </c>
      <c r="AV21" s="6">
        <f>Expenses!AW57</f>
        <v>0</v>
      </c>
      <c r="AW21" s="6">
        <f>Expenses!AX57</f>
        <v>0</v>
      </c>
      <c r="AX21" s="6">
        <f>Expenses!AY57</f>
        <v>0</v>
      </c>
      <c r="AY21" s="6">
        <f>Expenses!AZ57</f>
        <v>0</v>
      </c>
      <c r="AZ21" s="6">
        <f>Expenses!BA57</f>
        <v>0</v>
      </c>
      <c r="BA21" s="6">
        <f>Expenses!BB57</f>
        <v>0</v>
      </c>
      <c r="BB21" s="6">
        <f>Expenses!BC57</f>
        <v>0</v>
      </c>
      <c r="BC21" s="6">
        <f>Expenses!BD57</f>
        <v>0</v>
      </c>
      <c r="BD21" s="6">
        <f>Expenses!BE57</f>
        <v>0</v>
      </c>
      <c r="BE21" s="6">
        <f>Expenses!BF57</f>
        <v>0</v>
      </c>
      <c r="BF21" s="6">
        <f>Expenses!BG57</f>
        <v>0</v>
      </c>
      <c r="BG21" s="6">
        <f>Expenses!BH57</f>
        <v>0</v>
      </c>
      <c r="BH21" s="6">
        <f>Expenses!BI57</f>
        <v>0</v>
      </c>
      <c r="BI21" s="6">
        <f>Expenses!BJ57</f>
        <v>0</v>
      </c>
      <c r="BJ21" s="6">
        <f>Expenses!BK57</f>
        <v>0</v>
      </c>
      <c r="BK21" s="6">
        <f>Expenses!BL57</f>
        <v>0</v>
      </c>
      <c r="BL21" s="26">
        <f>Expenses!BM57</f>
        <v>0</v>
      </c>
    </row>
    <row r="22" spans="1:227" s="32" customFormat="1" ht="18" x14ac:dyDescent="0.25">
      <c r="A22" s="76"/>
      <c r="B22" s="91" t="s">
        <v>123</v>
      </c>
      <c r="C22" s="137">
        <f>SUM(E22:BL22)</f>
        <v>3005.7040000000025</v>
      </c>
      <c r="D22" s="109"/>
      <c r="E22" s="90">
        <f>(E15+E16+E17+E21)*0.1</f>
        <v>576.42000000000007</v>
      </c>
      <c r="F22" s="90">
        <f>(F15+F16+F17+F21)*0.1</f>
        <v>132.73000000000002</v>
      </c>
      <c r="G22" s="90">
        <f>(G15+G16+G17+G21)*0.1</f>
        <v>239.07</v>
      </c>
      <c r="H22" s="90">
        <f>(H15+H16+H17+H21)*0.1</f>
        <v>345.41</v>
      </c>
      <c r="I22" s="90"/>
      <c r="J22" s="90">
        <f t="shared" ref="J22:AO22" si="8">(J15+J16+J17+J21)*0.1</f>
        <v>53.170000000000009</v>
      </c>
      <c r="K22" s="90">
        <f t="shared" si="8"/>
        <v>53.170000000000009</v>
      </c>
      <c r="L22" s="90">
        <f t="shared" si="8"/>
        <v>53.170000000000009</v>
      </c>
      <c r="M22" s="90">
        <f t="shared" si="8"/>
        <v>53.170000000000009</v>
      </c>
      <c r="N22" s="90">
        <f t="shared" si="8"/>
        <v>53.170000000000009</v>
      </c>
      <c r="O22" s="90">
        <f t="shared" si="8"/>
        <v>53.170000000000009</v>
      </c>
      <c r="P22" s="90">
        <f t="shared" si="8"/>
        <v>53.170000000000009</v>
      </c>
      <c r="Q22" s="90">
        <f t="shared" si="8"/>
        <v>54.765100000000011</v>
      </c>
      <c r="R22" s="90">
        <f t="shared" si="8"/>
        <v>54.765100000000011</v>
      </c>
      <c r="S22" s="90">
        <f t="shared" si="8"/>
        <v>54.765100000000011</v>
      </c>
      <c r="T22" s="90">
        <f t="shared" si="8"/>
        <v>54.765100000000011</v>
      </c>
      <c r="U22" s="90">
        <f t="shared" si="8"/>
        <v>54.765100000000011</v>
      </c>
      <c r="V22" s="90">
        <f t="shared" si="8"/>
        <v>54.765100000000011</v>
      </c>
      <c r="W22" s="90">
        <f t="shared" si="8"/>
        <v>54.765100000000011</v>
      </c>
      <c r="X22" s="90">
        <f t="shared" si="8"/>
        <v>54.765100000000011</v>
      </c>
      <c r="Y22" s="90">
        <f t="shared" si="8"/>
        <v>54.765100000000011</v>
      </c>
      <c r="Z22" s="90">
        <f t="shared" si="8"/>
        <v>54.765100000000011</v>
      </c>
      <c r="AA22" s="90">
        <f t="shared" si="8"/>
        <v>54.765100000000011</v>
      </c>
      <c r="AB22" s="90">
        <f t="shared" si="8"/>
        <v>54.765100000000011</v>
      </c>
      <c r="AC22" s="90">
        <f t="shared" si="8"/>
        <v>56.891900000000014</v>
      </c>
      <c r="AD22" s="90">
        <f t="shared" si="8"/>
        <v>56.891900000000014</v>
      </c>
      <c r="AE22" s="90">
        <f t="shared" si="8"/>
        <v>56.891900000000014</v>
      </c>
      <c r="AF22" s="90">
        <f t="shared" si="8"/>
        <v>56.891900000000014</v>
      </c>
      <c r="AG22" s="90">
        <f t="shared" si="8"/>
        <v>56.891900000000014</v>
      </c>
      <c r="AH22" s="90">
        <f t="shared" si="8"/>
        <v>56.891900000000014</v>
      </c>
      <c r="AI22" s="90">
        <f t="shared" si="8"/>
        <v>56.891900000000014</v>
      </c>
      <c r="AJ22" s="90">
        <f t="shared" si="8"/>
        <v>56.891900000000014</v>
      </c>
      <c r="AK22" s="90">
        <f t="shared" si="8"/>
        <v>56.891900000000014</v>
      </c>
      <c r="AL22" s="90">
        <f t="shared" si="8"/>
        <v>56.891900000000014</v>
      </c>
      <c r="AM22" s="90">
        <f t="shared" si="8"/>
        <v>56.891900000000014</v>
      </c>
      <c r="AN22" s="90">
        <f t="shared" si="8"/>
        <v>56.891900000000014</v>
      </c>
      <c r="AO22" s="90">
        <f t="shared" si="8"/>
        <v>0</v>
      </c>
      <c r="AP22" s="90">
        <f t="shared" ref="AP22:BL22" si="9">(AP15+AP16+AP17+AP21)*0.1</f>
        <v>0</v>
      </c>
      <c r="AQ22" s="90">
        <f t="shared" si="9"/>
        <v>0</v>
      </c>
      <c r="AR22" s="90">
        <f t="shared" si="9"/>
        <v>0</v>
      </c>
      <c r="AS22" s="90">
        <f t="shared" si="9"/>
        <v>0</v>
      </c>
      <c r="AT22" s="90">
        <f t="shared" si="9"/>
        <v>0</v>
      </c>
      <c r="AU22" s="90">
        <f t="shared" si="9"/>
        <v>0</v>
      </c>
      <c r="AV22" s="90">
        <f t="shared" si="9"/>
        <v>0</v>
      </c>
      <c r="AW22" s="90">
        <f t="shared" si="9"/>
        <v>0</v>
      </c>
      <c r="AX22" s="90">
        <f t="shared" si="9"/>
        <v>0</v>
      </c>
      <c r="AY22" s="90">
        <f t="shared" si="9"/>
        <v>0</v>
      </c>
      <c r="AZ22" s="90">
        <f t="shared" si="9"/>
        <v>0</v>
      </c>
      <c r="BA22" s="90">
        <f t="shared" si="9"/>
        <v>0</v>
      </c>
      <c r="BB22" s="90">
        <f t="shared" si="9"/>
        <v>0</v>
      </c>
      <c r="BC22" s="90">
        <f t="shared" si="9"/>
        <v>0</v>
      </c>
      <c r="BD22" s="90">
        <f t="shared" si="9"/>
        <v>0</v>
      </c>
      <c r="BE22" s="90">
        <f t="shared" si="9"/>
        <v>0</v>
      </c>
      <c r="BF22" s="90">
        <f t="shared" si="9"/>
        <v>0</v>
      </c>
      <c r="BG22" s="90">
        <f t="shared" si="9"/>
        <v>0</v>
      </c>
      <c r="BH22" s="90">
        <f t="shared" si="9"/>
        <v>0</v>
      </c>
      <c r="BI22" s="90">
        <f t="shared" si="9"/>
        <v>0</v>
      </c>
      <c r="BJ22" s="90">
        <f t="shared" si="9"/>
        <v>0</v>
      </c>
      <c r="BK22" s="90">
        <f t="shared" si="9"/>
        <v>0</v>
      </c>
      <c r="BL22" s="90">
        <f t="shared" si="9"/>
        <v>0</v>
      </c>
    </row>
    <row r="23" spans="1:227" s="32" customFormat="1" x14ac:dyDescent="0.2">
      <c r="A23" s="76"/>
      <c r="B23" s="93" t="s">
        <v>121</v>
      </c>
      <c r="C23" s="80">
        <f>SUM(C21:C22)</f>
        <v>3005.7040000000025</v>
      </c>
      <c r="D23" s="104">
        <v>0</v>
      </c>
      <c r="E23" s="89">
        <f>E21+E22</f>
        <v>576.42000000000007</v>
      </c>
      <c r="F23" s="6">
        <f t="shared" ref="F23:BL23" si="10">F21+F22</f>
        <v>132.73000000000002</v>
      </c>
      <c r="G23" s="6">
        <f t="shared" si="10"/>
        <v>239.07</v>
      </c>
      <c r="H23" s="6">
        <f t="shared" si="10"/>
        <v>345.41</v>
      </c>
      <c r="I23" s="6">
        <f t="shared" si="10"/>
        <v>0</v>
      </c>
      <c r="J23" s="6">
        <f t="shared" si="10"/>
        <v>53.170000000000009</v>
      </c>
      <c r="K23" s="6">
        <f t="shared" si="10"/>
        <v>53.170000000000009</v>
      </c>
      <c r="L23" s="6">
        <f t="shared" si="10"/>
        <v>53.170000000000009</v>
      </c>
      <c r="M23" s="6">
        <f t="shared" si="10"/>
        <v>53.170000000000009</v>
      </c>
      <c r="N23" s="6">
        <f t="shared" si="10"/>
        <v>53.170000000000009</v>
      </c>
      <c r="O23" s="6">
        <f t="shared" si="10"/>
        <v>53.170000000000009</v>
      </c>
      <c r="P23" s="6">
        <f t="shared" si="10"/>
        <v>53.170000000000009</v>
      </c>
      <c r="Q23" s="6">
        <f t="shared" si="10"/>
        <v>54.765100000000011</v>
      </c>
      <c r="R23" s="6">
        <f t="shared" si="10"/>
        <v>54.765100000000011</v>
      </c>
      <c r="S23" s="6">
        <f t="shared" si="10"/>
        <v>54.765100000000011</v>
      </c>
      <c r="T23" s="6">
        <f t="shared" si="10"/>
        <v>54.765100000000011</v>
      </c>
      <c r="U23" s="6">
        <f t="shared" si="10"/>
        <v>54.765100000000011</v>
      </c>
      <c r="V23" s="6">
        <f t="shared" si="10"/>
        <v>54.765100000000011</v>
      </c>
      <c r="W23" s="6">
        <f t="shared" si="10"/>
        <v>54.765100000000011</v>
      </c>
      <c r="X23" s="6">
        <f t="shared" si="10"/>
        <v>54.765100000000011</v>
      </c>
      <c r="Y23" s="6">
        <f t="shared" si="10"/>
        <v>54.765100000000011</v>
      </c>
      <c r="Z23" s="6">
        <f t="shared" si="10"/>
        <v>54.765100000000011</v>
      </c>
      <c r="AA23" s="6">
        <f t="shared" si="10"/>
        <v>54.765100000000011</v>
      </c>
      <c r="AB23" s="6">
        <f t="shared" si="10"/>
        <v>54.765100000000011</v>
      </c>
      <c r="AC23" s="6">
        <f t="shared" si="10"/>
        <v>56.891900000000014</v>
      </c>
      <c r="AD23" s="6">
        <f t="shared" si="10"/>
        <v>56.891900000000014</v>
      </c>
      <c r="AE23" s="6">
        <f t="shared" si="10"/>
        <v>56.891900000000014</v>
      </c>
      <c r="AF23" s="6">
        <f t="shared" si="10"/>
        <v>56.891900000000014</v>
      </c>
      <c r="AG23" s="6">
        <f t="shared" si="10"/>
        <v>56.891900000000014</v>
      </c>
      <c r="AH23" s="6">
        <f t="shared" si="10"/>
        <v>56.891900000000014</v>
      </c>
      <c r="AI23" s="6">
        <f t="shared" si="10"/>
        <v>56.891900000000014</v>
      </c>
      <c r="AJ23" s="6">
        <f t="shared" si="10"/>
        <v>56.891900000000014</v>
      </c>
      <c r="AK23" s="6">
        <f t="shared" si="10"/>
        <v>56.891900000000014</v>
      </c>
      <c r="AL23" s="6">
        <f t="shared" si="10"/>
        <v>56.891900000000014</v>
      </c>
      <c r="AM23" s="6">
        <f t="shared" si="10"/>
        <v>56.891900000000014</v>
      </c>
      <c r="AN23" s="6">
        <f t="shared" si="10"/>
        <v>56.891900000000014</v>
      </c>
      <c r="AO23" s="6">
        <f t="shared" si="10"/>
        <v>0</v>
      </c>
      <c r="AP23" s="6">
        <f t="shared" si="10"/>
        <v>0</v>
      </c>
      <c r="AQ23" s="6">
        <f t="shared" si="10"/>
        <v>0</v>
      </c>
      <c r="AR23" s="6">
        <f t="shared" si="10"/>
        <v>0</v>
      </c>
      <c r="AS23" s="6">
        <f t="shared" si="10"/>
        <v>0</v>
      </c>
      <c r="AT23" s="6">
        <f t="shared" si="10"/>
        <v>0</v>
      </c>
      <c r="AU23" s="6">
        <f t="shared" si="10"/>
        <v>0</v>
      </c>
      <c r="AV23" s="6">
        <f t="shared" si="10"/>
        <v>0</v>
      </c>
      <c r="AW23" s="6">
        <f t="shared" si="10"/>
        <v>0</v>
      </c>
      <c r="AX23" s="6">
        <f t="shared" si="10"/>
        <v>0</v>
      </c>
      <c r="AY23" s="6">
        <f t="shared" si="10"/>
        <v>0</v>
      </c>
      <c r="AZ23" s="6">
        <f t="shared" si="10"/>
        <v>0</v>
      </c>
      <c r="BA23" s="6">
        <f t="shared" si="10"/>
        <v>0</v>
      </c>
      <c r="BB23" s="6">
        <f t="shared" si="10"/>
        <v>0</v>
      </c>
      <c r="BC23" s="6">
        <f t="shared" si="10"/>
        <v>0</v>
      </c>
      <c r="BD23" s="6">
        <f t="shared" si="10"/>
        <v>0</v>
      </c>
      <c r="BE23" s="6">
        <f t="shared" si="10"/>
        <v>0</v>
      </c>
      <c r="BF23" s="6">
        <f t="shared" si="10"/>
        <v>0</v>
      </c>
      <c r="BG23" s="6">
        <f t="shared" si="10"/>
        <v>0</v>
      </c>
      <c r="BH23" s="6">
        <f t="shared" si="10"/>
        <v>0</v>
      </c>
      <c r="BI23" s="6">
        <f t="shared" si="10"/>
        <v>0</v>
      </c>
      <c r="BJ23" s="6">
        <f t="shared" si="10"/>
        <v>0</v>
      </c>
      <c r="BK23" s="6">
        <f t="shared" si="10"/>
        <v>0</v>
      </c>
      <c r="BL23" s="26">
        <f t="shared" si="10"/>
        <v>0</v>
      </c>
    </row>
    <row r="24" spans="1:227" s="29" customFormat="1" x14ac:dyDescent="0.2">
      <c r="A24" s="76"/>
      <c r="B24" s="91" t="s">
        <v>11</v>
      </c>
      <c r="C24" s="80">
        <f>C23+C19</f>
        <v>33594.444000000003</v>
      </c>
      <c r="D24" s="119">
        <f t="shared" ref="D24:BL24" si="11">D23+D19</f>
        <v>0</v>
      </c>
      <c r="E24" s="119">
        <f t="shared" si="11"/>
        <v>6340.6200000000008</v>
      </c>
      <c r="F24" s="119">
        <f t="shared" si="11"/>
        <v>1460.0300000000002</v>
      </c>
      <c r="G24" s="119">
        <f t="shared" si="11"/>
        <v>2629.77</v>
      </c>
      <c r="H24" s="119">
        <f t="shared" si="11"/>
        <v>3799.5099999999998</v>
      </c>
      <c r="I24" s="119">
        <f t="shared" si="11"/>
        <v>531.70000000000005</v>
      </c>
      <c r="J24" s="119">
        <f t="shared" si="11"/>
        <v>584.87</v>
      </c>
      <c r="K24" s="119">
        <f t="shared" si="11"/>
        <v>584.87</v>
      </c>
      <c r="L24" s="119">
        <f t="shared" si="11"/>
        <v>584.87</v>
      </c>
      <c r="M24" s="119">
        <f t="shared" si="11"/>
        <v>584.87</v>
      </c>
      <c r="N24" s="119">
        <f t="shared" si="11"/>
        <v>584.87</v>
      </c>
      <c r="O24" s="119">
        <f t="shared" si="11"/>
        <v>584.87</v>
      </c>
      <c r="P24" s="119">
        <f t="shared" si="11"/>
        <v>584.87</v>
      </c>
      <c r="Q24" s="119">
        <f t="shared" si="11"/>
        <v>602.41610000000003</v>
      </c>
      <c r="R24" s="119">
        <f t="shared" si="11"/>
        <v>602.41610000000003</v>
      </c>
      <c r="S24" s="119">
        <f t="shared" si="11"/>
        <v>602.41610000000003</v>
      </c>
      <c r="T24" s="119">
        <f t="shared" si="11"/>
        <v>602.41610000000003</v>
      </c>
      <c r="U24" s="119">
        <f t="shared" si="11"/>
        <v>602.41610000000003</v>
      </c>
      <c r="V24" s="119">
        <f t="shared" si="11"/>
        <v>602.41610000000003</v>
      </c>
      <c r="W24" s="119">
        <f t="shared" si="11"/>
        <v>602.41610000000003</v>
      </c>
      <c r="X24" s="119">
        <f t="shared" si="11"/>
        <v>602.41610000000003</v>
      </c>
      <c r="Y24" s="119">
        <f t="shared" si="11"/>
        <v>602.41610000000003</v>
      </c>
      <c r="Z24" s="119">
        <f t="shared" si="11"/>
        <v>602.41610000000003</v>
      </c>
      <c r="AA24" s="119">
        <f t="shared" si="11"/>
        <v>602.41610000000003</v>
      </c>
      <c r="AB24" s="119">
        <f t="shared" si="11"/>
        <v>602.41610000000003</v>
      </c>
      <c r="AC24" s="119">
        <f t="shared" si="11"/>
        <v>625.81090000000006</v>
      </c>
      <c r="AD24" s="119">
        <f t="shared" si="11"/>
        <v>625.81090000000006</v>
      </c>
      <c r="AE24" s="119">
        <f t="shared" si="11"/>
        <v>625.81090000000006</v>
      </c>
      <c r="AF24" s="119">
        <f t="shared" si="11"/>
        <v>625.81090000000006</v>
      </c>
      <c r="AG24" s="119">
        <f t="shared" si="11"/>
        <v>625.81090000000006</v>
      </c>
      <c r="AH24" s="119">
        <f t="shared" si="11"/>
        <v>625.81090000000006</v>
      </c>
      <c r="AI24" s="119">
        <f t="shared" si="11"/>
        <v>625.81090000000006</v>
      </c>
      <c r="AJ24" s="119">
        <f t="shared" si="11"/>
        <v>625.81090000000006</v>
      </c>
      <c r="AK24" s="119">
        <f t="shared" si="11"/>
        <v>625.81090000000006</v>
      </c>
      <c r="AL24" s="119">
        <f t="shared" si="11"/>
        <v>625.81090000000006</v>
      </c>
      <c r="AM24" s="119">
        <f t="shared" si="11"/>
        <v>625.81090000000006</v>
      </c>
      <c r="AN24" s="119">
        <f t="shared" si="11"/>
        <v>625.81090000000006</v>
      </c>
      <c r="AO24" s="119">
        <f t="shared" si="11"/>
        <v>0</v>
      </c>
      <c r="AP24" s="119">
        <f t="shared" si="11"/>
        <v>0</v>
      </c>
      <c r="AQ24" s="119">
        <f t="shared" si="11"/>
        <v>0</v>
      </c>
      <c r="AR24" s="119">
        <f t="shared" si="11"/>
        <v>0</v>
      </c>
      <c r="AS24" s="119">
        <f t="shared" si="11"/>
        <v>0</v>
      </c>
      <c r="AT24" s="119">
        <f t="shared" si="11"/>
        <v>0</v>
      </c>
      <c r="AU24" s="119">
        <f t="shared" si="11"/>
        <v>0</v>
      </c>
      <c r="AV24" s="119">
        <f t="shared" si="11"/>
        <v>0</v>
      </c>
      <c r="AW24" s="119">
        <f t="shared" si="11"/>
        <v>0</v>
      </c>
      <c r="AX24" s="119">
        <f t="shared" si="11"/>
        <v>0</v>
      </c>
      <c r="AY24" s="119">
        <f t="shared" si="11"/>
        <v>0</v>
      </c>
      <c r="AZ24" s="119">
        <f t="shared" si="11"/>
        <v>0</v>
      </c>
      <c r="BA24" s="119">
        <f t="shared" si="11"/>
        <v>0</v>
      </c>
      <c r="BB24" s="119">
        <f t="shared" si="11"/>
        <v>0</v>
      </c>
      <c r="BC24" s="119">
        <f t="shared" si="11"/>
        <v>0</v>
      </c>
      <c r="BD24" s="119">
        <f t="shared" si="11"/>
        <v>0</v>
      </c>
      <c r="BE24" s="119">
        <f t="shared" si="11"/>
        <v>0</v>
      </c>
      <c r="BF24" s="119">
        <f t="shared" si="11"/>
        <v>0</v>
      </c>
      <c r="BG24" s="119">
        <f t="shared" si="11"/>
        <v>0</v>
      </c>
      <c r="BH24" s="119">
        <f t="shared" si="11"/>
        <v>0</v>
      </c>
      <c r="BI24" s="119">
        <f t="shared" si="11"/>
        <v>0</v>
      </c>
      <c r="BJ24" s="119">
        <f t="shared" si="11"/>
        <v>0</v>
      </c>
      <c r="BK24" s="119">
        <f t="shared" si="11"/>
        <v>0</v>
      </c>
      <c r="BL24" s="119">
        <f t="shared" si="11"/>
        <v>0</v>
      </c>
    </row>
    <row r="25" spans="1:227" s="135" customFormat="1" hidden="1" x14ac:dyDescent="0.2">
      <c r="A25" s="128"/>
      <c r="B25" s="129" t="s">
        <v>126</v>
      </c>
      <c r="C25" s="130"/>
      <c r="D25" s="131"/>
      <c r="E25" s="132">
        <f>D24+E24</f>
        <v>6340.6200000000008</v>
      </c>
      <c r="F25" s="133">
        <f>E25+F24</f>
        <v>7800.6500000000015</v>
      </c>
      <c r="G25" s="133">
        <f t="shared" ref="G25:BK25" si="12">F25+G24</f>
        <v>10430.420000000002</v>
      </c>
      <c r="H25" s="133">
        <f t="shared" si="12"/>
        <v>14229.930000000002</v>
      </c>
      <c r="I25" s="133">
        <f t="shared" si="12"/>
        <v>14761.630000000003</v>
      </c>
      <c r="J25" s="133">
        <f t="shared" si="12"/>
        <v>15346.500000000004</v>
      </c>
      <c r="K25" s="133">
        <f t="shared" si="12"/>
        <v>15931.370000000004</v>
      </c>
      <c r="L25" s="133">
        <f t="shared" si="12"/>
        <v>16516.240000000005</v>
      </c>
      <c r="M25" s="133">
        <f t="shared" si="12"/>
        <v>17101.110000000004</v>
      </c>
      <c r="N25" s="133">
        <f t="shared" si="12"/>
        <v>17685.980000000003</v>
      </c>
      <c r="O25" s="133">
        <f t="shared" si="12"/>
        <v>18270.850000000002</v>
      </c>
      <c r="P25" s="133">
        <f t="shared" si="12"/>
        <v>18855.72</v>
      </c>
      <c r="Q25" s="133">
        <f t="shared" si="12"/>
        <v>19458.1361</v>
      </c>
      <c r="R25" s="133">
        <f t="shared" si="12"/>
        <v>20060.552199999998</v>
      </c>
      <c r="S25" s="133">
        <f t="shared" si="12"/>
        <v>20662.968299999997</v>
      </c>
      <c r="T25" s="133">
        <f t="shared" si="12"/>
        <v>21265.384399999995</v>
      </c>
      <c r="U25" s="133">
        <f t="shared" si="12"/>
        <v>21867.800499999994</v>
      </c>
      <c r="V25" s="133">
        <f t="shared" si="12"/>
        <v>22470.216599999992</v>
      </c>
      <c r="W25" s="133">
        <f t="shared" si="12"/>
        <v>23072.632699999991</v>
      </c>
      <c r="X25" s="133">
        <f t="shared" si="12"/>
        <v>23675.04879999999</v>
      </c>
      <c r="Y25" s="133">
        <f t="shared" si="12"/>
        <v>24277.464899999988</v>
      </c>
      <c r="Z25" s="133">
        <f t="shared" si="12"/>
        <v>24879.880999999987</v>
      </c>
      <c r="AA25" s="133">
        <f t="shared" si="12"/>
        <v>25482.297099999985</v>
      </c>
      <c r="AB25" s="133">
        <f t="shared" si="12"/>
        <v>26084.713199999984</v>
      </c>
      <c r="AC25" s="133">
        <f t="shared" si="12"/>
        <v>26710.524099999984</v>
      </c>
      <c r="AD25" s="133">
        <f t="shared" si="12"/>
        <v>27336.334999999985</v>
      </c>
      <c r="AE25" s="133">
        <f t="shared" si="12"/>
        <v>27962.145899999985</v>
      </c>
      <c r="AF25" s="133">
        <f t="shared" si="12"/>
        <v>28587.956799999985</v>
      </c>
      <c r="AG25" s="133">
        <f t="shared" si="12"/>
        <v>29213.767699999986</v>
      </c>
      <c r="AH25" s="133">
        <f t="shared" si="12"/>
        <v>29839.578599999986</v>
      </c>
      <c r="AI25" s="133">
        <f t="shared" si="12"/>
        <v>30465.389499999987</v>
      </c>
      <c r="AJ25" s="133">
        <f t="shared" si="12"/>
        <v>31091.200399999987</v>
      </c>
      <c r="AK25" s="133">
        <f t="shared" si="12"/>
        <v>31717.011299999987</v>
      </c>
      <c r="AL25" s="133">
        <f t="shared" si="12"/>
        <v>32342.822199999988</v>
      </c>
      <c r="AM25" s="133">
        <f t="shared" si="12"/>
        <v>32968.633099999985</v>
      </c>
      <c r="AN25" s="133">
        <f t="shared" si="12"/>
        <v>33594.443999999981</v>
      </c>
      <c r="AO25" s="133">
        <f t="shared" si="12"/>
        <v>33594.443999999981</v>
      </c>
      <c r="AP25" s="133">
        <f t="shared" si="12"/>
        <v>33594.443999999981</v>
      </c>
      <c r="AQ25" s="133">
        <f t="shared" si="12"/>
        <v>33594.443999999981</v>
      </c>
      <c r="AR25" s="133">
        <f t="shared" si="12"/>
        <v>33594.443999999981</v>
      </c>
      <c r="AS25" s="133">
        <f t="shared" si="12"/>
        <v>33594.443999999981</v>
      </c>
      <c r="AT25" s="133">
        <f t="shared" si="12"/>
        <v>33594.443999999981</v>
      </c>
      <c r="AU25" s="133">
        <f t="shared" si="12"/>
        <v>33594.443999999981</v>
      </c>
      <c r="AV25" s="133">
        <f t="shared" si="12"/>
        <v>33594.443999999981</v>
      </c>
      <c r="AW25" s="133">
        <f t="shared" si="12"/>
        <v>33594.443999999981</v>
      </c>
      <c r="AX25" s="133">
        <f t="shared" si="12"/>
        <v>33594.443999999981</v>
      </c>
      <c r="AY25" s="133">
        <f t="shared" si="12"/>
        <v>33594.443999999981</v>
      </c>
      <c r="AZ25" s="133">
        <f t="shared" si="12"/>
        <v>33594.443999999981</v>
      </c>
      <c r="BA25" s="133">
        <f t="shared" si="12"/>
        <v>33594.443999999981</v>
      </c>
      <c r="BB25" s="133">
        <f t="shared" si="12"/>
        <v>33594.443999999981</v>
      </c>
      <c r="BC25" s="133">
        <f t="shared" si="12"/>
        <v>33594.443999999981</v>
      </c>
      <c r="BD25" s="133">
        <f t="shared" si="12"/>
        <v>33594.443999999981</v>
      </c>
      <c r="BE25" s="133">
        <f t="shared" si="12"/>
        <v>33594.443999999981</v>
      </c>
      <c r="BF25" s="133">
        <f t="shared" si="12"/>
        <v>33594.443999999981</v>
      </c>
      <c r="BG25" s="133">
        <f t="shared" si="12"/>
        <v>33594.443999999981</v>
      </c>
      <c r="BH25" s="133">
        <f t="shared" si="12"/>
        <v>33594.443999999981</v>
      </c>
      <c r="BI25" s="133">
        <f t="shared" si="12"/>
        <v>33594.443999999981</v>
      </c>
      <c r="BJ25" s="133">
        <f t="shared" si="12"/>
        <v>33594.443999999981</v>
      </c>
      <c r="BK25" s="133">
        <f t="shared" si="12"/>
        <v>33594.443999999981</v>
      </c>
      <c r="BL25" s="134">
        <f>BK25+BL24</f>
        <v>33594.443999999981</v>
      </c>
    </row>
    <row r="26" spans="1:227" s="86" customFormat="1" x14ac:dyDescent="0.2">
      <c r="A26" s="82"/>
      <c r="B26" s="42" t="s">
        <v>12</v>
      </c>
      <c r="C26" s="83">
        <f>C9-C24</f>
        <v>-33594.444000000003</v>
      </c>
      <c r="D26" s="110">
        <f>D9-D24</f>
        <v>0</v>
      </c>
      <c r="E26" s="99">
        <f t="shared" ref="E26:AJ26" si="13">E13-E25</f>
        <v>-6340.6200000000008</v>
      </c>
      <c r="F26" s="84">
        <f t="shared" si="13"/>
        <v>-7800.6500000000015</v>
      </c>
      <c r="G26" s="84">
        <f t="shared" si="13"/>
        <v>-10430.420000000002</v>
      </c>
      <c r="H26" s="84">
        <f t="shared" si="13"/>
        <v>-14229.930000000002</v>
      </c>
      <c r="I26" s="84">
        <f t="shared" si="13"/>
        <v>-14761.630000000003</v>
      </c>
      <c r="J26" s="84">
        <f t="shared" si="13"/>
        <v>-15346.500000000004</v>
      </c>
      <c r="K26" s="84">
        <f t="shared" si="13"/>
        <v>-15931.370000000004</v>
      </c>
      <c r="L26" s="84">
        <f t="shared" si="13"/>
        <v>-16516.240000000005</v>
      </c>
      <c r="M26" s="84">
        <f t="shared" si="13"/>
        <v>-17101.110000000004</v>
      </c>
      <c r="N26" s="84">
        <f t="shared" si="13"/>
        <v>-17685.980000000003</v>
      </c>
      <c r="O26" s="84">
        <f t="shared" si="13"/>
        <v>-18270.850000000002</v>
      </c>
      <c r="P26" s="84">
        <f t="shared" si="13"/>
        <v>-18855.72</v>
      </c>
      <c r="Q26" s="84">
        <f t="shared" si="13"/>
        <v>-19458.1361</v>
      </c>
      <c r="R26" s="84">
        <f t="shared" si="13"/>
        <v>-20060.552199999998</v>
      </c>
      <c r="S26" s="84">
        <f t="shared" si="13"/>
        <v>-20662.968299999997</v>
      </c>
      <c r="T26" s="84">
        <f t="shared" si="13"/>
        <v>-21265.384399999995</v>
      </c>
      <c r="U26" s="84">
        <f t="shared" si="13"/>
        <v>-21867.800499999994</v>
      </c>
      <c r="V26" s="84">
        <f t="shared" si="13"/>
        <v>-22470.216599999992</v>
      </c>
      <c r="W26" s="84">
        <f t="shared" si="13"/>
        <v>-23072.632699999991</v>
      </c>
      <c r="X26" s="84">
        <f t="shared" si="13"/>
        <v>-23675.04879999999</v>
      </c>
      <c r="Y26" s="84">
        <f t="shared" si="13"/>
        <v>-24277.464899999988</v>
      </c>
      <c r="Z26" s="84">
        <f t="shared" si="13"/>
        <v>-24879.880999999987</v>
      </c>
      <c r="AA26" s="84">
        <f t="shared" si="13"/>
        <v>-25482.297099999985</v>
      </c>
      <c r="AB26" s="84">
        <f t="shared" si="13"/>
        <v>-26084.713199999984</v>
      </c>
      <c r="AC26" s="84">
        <f t="shared" si="13"/>
        <v>-26710.524099999984</v>
      </c>
      <c r="AD26" s="84">
        <f t="shared" si="13"/>
        <v>-27336.334999999985</v>
      </c>
      <c r="AE26" s="84">
        <f t="shared" si="13"/>
        <v>-27962.145899999985</v>
      </c>
      <c r="AF26" s="84">
        <f t="shared" si="13"/>
        <v>-28587.956799999985</v>
      </c>
      <c r="AG26" s="84">
        <f t="shared" si="13"/>
        <v>-29213.767699999986</v>
      </c>
      <c r="AH26" s="84">
        <f t="shared" si="13"/>
        <v>-29839.578599999986</v>
      </c>
      <c r="AI26" s="84">
        <f t="shared" si="13"/>
        <v>-30465.389499999987</v>
      </c>
      <c r="AJ26" s="84">
        <f t="shared" si="13"/>
        <v>-31091.200399999987</v>
      </c>
      <c r="AK26" s="84">
        <f t="shared" ref="AK26:BL26" si="14">AK13-AK25</f>
        <v>-31717.011299999987</v>
      </c>
      <c r="AL26" s="84">
        <f t="shared" si="14"/>
        <v>-32342.822199999988</v>
      </c>
      <c r="AM26" s="84">
        <f t="shared" si="14"/>
        <v>-32968.633099999985</v>
      </c>
      <c r="AN26" s="84">
        <f t="shared" si="14"/>
        <v>-33594.443999999981</v>
      </c>
      <c r="AO26" s="84">
        <f t="shared" si="14"/>
        <v>-33594.443999999981</v>
      </c>
      <c r="AP26" s="84">
        <f t="shared" si="14"/>
        <v>-33594.443999999981</v>
      </c>
      <c r="AQ26" s="84">
        <f t="shared" si="14"/>
        <v>-33594.443999999981</v>
      </c>
      <c r="AR26" s="84">
        <f t="shared" si="14"/>
        <v>-33594.443999999981</v>
      </c>
      <c r="AS26" s="84">
        <f t="shared" si="14"/>
        <v>-33594.443999999981</v>
      </c>
      <c r="AT26" s="84">
        <f t="shared" si="14"/>
        <v>-33594.443999999981</v>
      </c>
      <c r="AU26" s="84">
        <f t="shared" si="14"/>
        <v>-33594.443999999981</v>
      </c>
      <c r="AV26" s="84">
        <f t="shared" si="14"/>
        <v>-33594.443999999981</v>
      </c>
      <c r="AW26" s="84">
        <f t="shared" si="14"/>
        <v>-33594.443999999981</v>
      </c>
      <c r="AX26" s="84">
        <f t="shared" si="14"/>
        <v>-33594.443999999981</v>
      </c>
      <c r="AY26" s="84">
        <f t="shared" si="14"/>
        <v>-33594.443999999981</v>
      </c>
      <c r="AZ26" s="84">
        <f t="shared" si="14"/>
        <v>-33594.443999999981</v>
      </c>
      <c r="BA26" s="84">
        <f t="shared" si="14"/>
        <v>-33594.443999999981</v>
      </c>
      <c r="BB26" s="84">
        <f t="shared" si="14"/>
        <v>-33594.443999999981</v>
      </c>
      <c r="BC26" s="84">
        <f t="shared" si="14"/>
        <v>-33594.443999999981</v>
      </c>
      <c r="BD26" s="84">
        <f t="shared" si="14"/>
        <v>-33594.443999999981</v>
      </c>
      <c r="BE26" s="84">
        <f t="shared" si="14"/>
        <v>-33594.443999999981</v>
      </c>
      <c r="BF26" s="84">
        <f t="shared" si="14"/>
        <v>-33594.443999999981</v>
      </c>
      <c r="BG26" s="84">
        <f t="shared" si="14"/>
        <v>-33594.443999999981</v>
      </c>
      <c r="BH26" s="84">
        <f t="shared" si="14"/>
        <v>-33594.443999999981</v>
      </c>
      <c r="BI26" s="84">
        <f t="shared" si="14"/>
        <v>-33594.443999999981</v>
      </c>
      <c r="BJ26" s="84">
        <f t="shared" si="14"/>
        <v>-33594.443999999981</v>
      </c>
      <c r="BK26" s="84">
        <f t="shared" si="14"/>
        <v>-33594.443999999981</v>
      </c>
      <c r="BL26" s="85">
        <f t="shared" si="14"/>
        <v>-33594.443999999981</v>
      </c>
    </row>
    <row r="27" spans="1:227" s="32" customFormat="1" ht="13.5" thickBot="1" x14ac:dyDescent="0.25">
      <c r="A27" s="76"/>
      <c r="B27" s="43" t="s">
        <v>13</v>
      </c>
      <c r="C27" s="117" t="e">
        <f>C26/C9</f>
        <v>#DIV/0!</v>
      </c>
      <c r="D27" s="111" t="e">
        <f>D26/D9</f>
        <v>#DIV/0!</v>
      </c>
      <c r="E27" s="100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47"/>
    </row>
    <row r="28" spans="1:227" s="32" customFormat="1" ht="13.5" thickBot="1" x14ac:dyDescent="0.25">
      <c r="A28" s="76"/>
      <c r="B28" s="113" t="s">
        <v>127</v>
      </c>
      <c r="C28" s="114"/>
      <c r="D28" s="112">
        <f>D10-D24</f>
        <v>0</v>
      </c>
      <c r="E28" s="101">
        <f t="shared" ref="E28:AJ28" si="15">E14-E25</f>
        <v>-6340.6200000000008</v>
      </c>
      <c r="F28" s="27">
        <f t="shared" si="15"/>
        <v>-7800.6500000000015</v>
      </c>
      <c r="G28" s="27">
        <f t="shared" si="15"/>
        <v>-10430.420000000002</v>
      </c>
      <c r="H28" s="27">
        <f t="shared" si="15"/>
        <v>-14229.930000000002</v>
      </c>
      <c r="I28" s="27">
        <f t="shared" si="15"/>
        <v>-14761.630000000003</v>
      </c>
      <c r="J28" s="27">
        <f t="shared" si="15"/>
        <v>-15346.500000000004</v>
      </c>
      <c r="K28" s="27">
        <f t="shared" si="15"/>
        <v>-15931.370000000004</v>
      </c>
      <c r="L28" s="27">
        <f t="shared" si="15"/>
        <v>-16516.240000000005</v>
      </c>
      <c r="M28" s="27">
        <f t="shared" si="15"/>
        <v>-17101.110000000004</v>
      </c>
      <c r="N28" s="27">
        <f t="shared" si="15"/>
        <v>-17685.980000000003</v>
      </c>
      <c r="O28" s="27">
        <f t="shared" si="15"/>
        <v>-18270.850000000002</v>
      </c>
      <c r="P28" s="27">
        <f t="shared" si="15"/>
        <v>-18855.72</v>
      </c>
      <c r="Q28" s="27">
        <f t="shared" si="15"/>
        <v>-19458.1361</v>
      </c>
      <c r="R28" s="27">
        <f t="shared" si="15"/>
        <v>-20060.552199999998</v>
      </c>
      <c r="S28" s="27">
        <f t="shared" si="15"/>
        <v>-20662.968299999997</v>
      </c>
      <c r="T28" s="27">
        <f t="shared" si="15"/>
        <v>-21265.384399999995</v>
      </c>
      <c r="U28" s="27">
        <f t="shared" si="15"/>
        <v>-21867.800499999994</v>
      </c>
      <c r="V28" s="27">
        <f t="shared" si="15"/>
        <v>-22470.216599999992</v>
      </c>
      <c r="W28" s="27">
        <f t="shared" si="15"/>
        <v>-23072.632699999991</v>
      </c>
      <c r="X28" s="27">
        <f t="shared" si="15"/>
        <v>-23675.04879999999</v>
      </c>
      <c r="Y28" s="27">
        <f t="shared" si="15"/>
        <v>-24277.464899999988</v>
      </c>
      <c r="Z28" s="27">
        <f t="shared" si="15"/>
        <v>-24879.880999999987</v>
      </c>
      <c r="AA28" s="27">
        <f t="shared" si="15"/>
        <v>-25482.297099999985</v>
      </c>
      <c r="AB28" s="27">
        <f t="shared" si="15"/>
        <v>-26084.713199999984</v>
      </c>
      <c r="AC28" s="27">
        <f t="shared" si="15"/>
        <v>-26710.524099999984</v>
      </c>
      <c r="AD28" s="27">
        <f t="shared" si="15"/>
        <v>-27336.334999999985</v>
      </c>
      <c r="AE28" s="27">
        <f t="shared" si="15"/>
        <v>-27962.145899999985</v>
      </c>
      <c r="AF28" s="27">
        <f t="shared" si="15"/>
        <v>-28587.956799999985</v>
      </c>
      <c r="AG28" s="27">
        <f t="shared" si="15"/>
        <v>-29213.767699999986</v>
      </c>
      <c r="AH28" s="27">
        <f t="shared" si="15"/>
        <v>-29839.578599999986</v>
      </c>
      <c r="AI28" s="27">
        <f t="shared" si="15"/>
        <v>-30465.389499999987</v>
      </c>
      <c r="AJ28" s="27">
        <f t="shared" si="15"/>
        <v>-31091.200399999987</v>
      </c>
      <c r="AK28" s="27">
        <f t="shared" ref="AK28:BL28" si="16">AK14-AK25</f>
        <v>-31717.011299999987</v>
      </c>
      <c r="AL28" s="27">
        <f t="shared" si="16"/>
        <v>-32342.822199999988</v>
      </c>
      <c r="AM28" s="27">
        <f t="shared" si="16"/>
        <v>-32968.633099999985</v>
      </c>
      <c r="AN28" s="27">
        <f t="shared" si="16"/>
        <v>-33594.443999999981</v>
      </c>
      <c r="AO28" s="27">
        <f t="shared" si="16"/>
        <v>-33594.443999999981</v>
      </c>
      <c r="AP28" s="27">
        <f t="shared" si="16"/>
        <v>-33594.443999999981</v>
      </c>
      <c r="AQ28" s="27">
        <f t="shared" si="16"/>
        <v>-33594.443999999981</v>
      </c>
      <c r="AR28" s="27">
        <f t="shared" si="16"/>
        <v>-33594.443999999981</v>
      </c>
      <c r="AS28" s="27">
        <f t="shared" si="16"/>
        <v>-33594.443999999981</v>
      </c>
      <c r="AT28" s="27">
        <f t="shared" si="16"/>
        <v>-33594.443999999981</v>
      </c>
      <c r="AU28" s="27">
        <f t="shared" si="16"/>
        <v>-33594.443999999981</v>
      </c>
      <c r="AV28" s="27">
        <f t="shared" si="16"/>
        <v>-33594.443999999981</v>
      </c>
      <c r="AW28" s="27">
        <f t="shared" si="16"/>
        <v>-33594.443999999981</v>
      </c>
      <c r="AX28" s="27">
        <f t="shared" si="16"/>
        <v>-33594.443999999981</v>
      </c>
      <c r="AY28" s="27">
        <f t="shared" si="16"/>
        <v>-33594.443999999981</v>
      </c>
      <c r="AZ28" s="27">
        <f t="shared" si="16"/>
        <v>-33594.443999999981</v>
      </c>
      <c r="BA28" s="27">
        <f t="shared" si="16"/>
        <v>-33594.443999999981</v>
      </c>
      <c r="BB28" s="27">
        <f t="shared" si="16"/>
        <v>-33594.443999999981</v>
      </c>
      <c r="BC28" s="27">
        <f t="shared" si="16"/>
        <v>-33594.443999999981</v>
      </c>
      <c r="BD28" s="27">
        <f t="shared" si="16"/>
        <v>-33594.443999999981</v>
      </c>
      <c r="BE28" s="27">
        <f t="shared" si="16"/>
        <v>-33594.443999999981</v>
      </c>
      <c r="BF28" s="27">
        <f t="shared" si="16"/>
        <v>-33594.443999999981</v>
      </c>
      <c r="BG28" s="27">
        <f t="shared" si="16"/>
        <v>-33594.443999999981</v>
      </c>
      <c r="BH28" s="27">
        <f t="shared" si="16"/>
        <v>-33594.443999999981</v>
      </c>
      <c r="BI28" s="27">
        <f t="shared" si="16"/>
        <v>-33594.443999999981</v>
      </c>
      <c r="BJ28" s="27">
        <f t="shared" si="16"/>
        <v>-33594.443999999981</v>
      </c>
      <c r="BK28" s="27">
        <f t="shared" si="16"/>
        <v>-33594.443999999981</v>
      </c>
      <c r="BL28" s="28">
        <f t="shared" si="16"/>
        <v>-33594.443999999981</v>
      </c>
    </row>
    <row r="29" spans="1:227" ht="13.5" thickBot="1" x14ac:dyDescent="0.25">
      <c r="B29" s="151" t="s">
        <v>157</v>
      </c>
      <c r="C29" s="152" t="e">
        <f>(C26+C22)/C9</f>
        <v>#DIV/0!</v>
      </c>
    </row>
    <row r="31" spans="1:227" s="145" customFormat="1" hidden="1" x14ac:dyDescent="0.2">
      <c r="A31" s="32"/>
      <c r="E31" s="156">
        <f>IF(E28&lt;0,E28*Expenses!$D$60/12,0)</f>
        <v>-13.209625000000003</v>
      </c>
      <c r="F31" s="157">
        <f>IF(F28&lt;0,F28*Expenses!$D$60/12,0)</f>
        <v>-16.251354166666669</v>
      </c>
      <c r="G31" s="157">
        <f>IF(G28&lt;0,G28*Expenses!$D$60/12,0)</f>
        <v>-21.730041666666668</v>
      </c>
      <c r="H31" s="157">
        <f>IF(H28&lt;0,H28*Expenses!$D$60/12,0)</f>
        <v>-29.645687500000008</v>
      </c>
      <c r="I31" s="157">
        <f>IF(I28&lt;0,I28*Expenses!$D$60/12,0)</f>
        <v>-30.753395833333343</v>
      </c>
      <c r="J31" s="157">
        <f>IF(J28&lt;0,J28*Expenses!$D$60/12,0)</f>
        <v>-31.971875000000011</v>
      </c>
      <c r="K31" s="157">
        <f>IF(K28&lt;0,K28*Expenses!$D$60/12,0)</f>
        <v>-33.19035416666668</v>
      </c>
      <c r="L31" s="157">
        <f>IF(L28&lt;0,L28*Expenses!$D$60/12,0)</f>
        <v>-34.408833333333348</v>
      </c>
      <c r="M31" s="157">
        <f>IF(M28&lt;0,M28*Expenses!$D$60/12,0)</f>
        <v>-35.627312500000009</v>
      </c>
      <c r="N31" s="157">
        <f>IF(N28&lt;0,N28*Expenses!$D$60/12,0)</f>
        <v>-36.845791666666678</v>
      </c>
      <c r="O31" s="157">
        <f>IF(O28&lt;0,O28*Expenses!$D$60/12,0)</f>
        <v>-38.064270833333339</v>
      </c>
      <c r="P31" s="157">
        <f>IF(P28&lt;0,P28*Expenses!$D$60/12,0)</f>
        <v>-39.28275</v>
      </c>
      <c r="Q31" s="157">
        <f>IF(Q28&lt;0,Q28*Expenses!$D$60/12,0)</f>
        <v>-40.53778354166667</v>
      </c>
      <c r="R31" s="157">
        <f>IF(R28&lt;0,R28*Expenses!$D$60/12,0)</f>
        <v>-41.792817083333333</v>
      </c>
      <c r="S31" s="157">
        <f>IF(S28&lt;0,S28*Expenses!$D$60/12,0)</f>
        <v>-43.047850624999995</v>
      </c>
      <c r="T31" s="157">
        <f>IF(T28&lt;0,T28*Expenses!$D$60/12,0)</f>
        <v>-44.302884166666665</v>
      </c>
      <c r="U31" s="157">
        <f>IF(U28&lt;0,U28*Expenses!$D$60/12,0)</f>
        <v>-45.557917708333321</v>
      </c>
      <c r="V31" s="157">
        <f>IF(V28&lt;0,V28*Expenses!$D$60/12,0)</f>
        <v>-46.81295124999999</v>
      </c>
      <c r="W31" s="157">
        <f>IF(W28&lt;0,W28*Expenses!$D$60/12,0)</f>
        <v>-48.067984791666646</v>
      </c>
      <c r="X31" s="157">
        <f>IF(X28&lt;0,X28*Expenses!$D$60/12,0)</f>
        <v>-49.323018333333316</v>
      </c>
      <c r="Y31" s="157">
        <f>IF(Y28&lt;0,Y28*Expenses!$D$60/12,0)</f>
        <v>-50.578051874999979</v>
      </c>
      <c r="Z31" s="157">
        <f>IF(Z28&lt;0,Z28*Expenses!$D$60/12,0)</f>
        <v>-51.833085416666641</v>
      </c>
      <c r="AA31" s="157">
        <f>IF(AA28&lt;0,AA28*Expenses!$D$60/12,0)</f>
        <v>-53.088118958333304</v>
      </c>
      <c r="AB31" s="157">
        <f>IF(AB28&lt;0,AB28*Expenses!$D$60/12,0)</f>
        <v>-54.343152499999974</v>
      </c>
      <c r="AC31" s="157">
        <f>IF(AC28&lt;0,AC28*Expenses!$D$60/12,0)</f>
        <v>-55.6469252083333</v>
      </c>
      <c r="AD31" s="157">
        <f>IF(AD28&lt;0,AD28*Expenses!$D$60/12,0)</f>
        <v>-56.950697916666634</v>
      </c>
      <c r="AE31" s="157">
        <f>IF(AE28&lt;0,AE28*Expenses!$D$60/12,0)</f>
        <v>-58.254470624999975</v>
      </c>
      <c r="AF31" s="157">
        <f>IF(AF28&lt;0,AF28*Expenses!$D$60/12,0)</f>
        <v>-59.558243333333309</v>
      </c>
      <c r="AG31" s="157">
        <f>IF(AG28&lt;0,AG28*Expenses!$D$60/12,0)</f>
        <v>-60.862016041666642</v>
      </c>
      <c r="AH31" s="157">
        <f>IF(AH28&lt;0,AH28*Expenses!$D$60/12,0)</f>
        <v>-62.165788749999969</v>
      </c>
      <c r="AI31" s="157">
        <f>IF(AI28&lt;0,AI28*Expenses!$D$60/12,0)</f>
        <v>-63.46956145833331</v>
      </c>
      <c r="AJ31" s="157">
        <f>IF(AJ28&lt;0,AJ28*Expenses!$D$60/12,0)</f>
        <v>-64.773334166666643</v>
      </c>
      <c r="AK31" s="157">
        <f>IF(AK28&lt;0,AK28*Expenses!$D$60/12,0)</f>
        <v>-66.077106874999984</v>
      </c>
      <c r="AL31" s="157">
        <f>IF(AL28&lt;0,AL28*Expenses!$D$60/12,0)</f>
        <v>-67.380879583333311</v>
      </c>
      <c r="AM31" s="157">
        <f>IF(AM28&lt;0,AM28*Expenses!$D$60/12,0)</f>
        <v>-68.684652291666637</v>
      </c>
      <c r="AN31" s="157">
        <f>IF(AN28&lt;0,AN28*Expenses!$D$60/12,0)</f>
        <v>-69.988424999999964</v>
      </c>
      <c r="AO31" s="157">
        <f>IF(AO28&lt;0,AO28*Expenses!$D$60/12,0)</f>
        <v>-69.988424999999964</v>
      </c>
      <c r="AP31" s="157">
        <f>IF(AP28&lt;0,AP28*Expenses!$D$60/12,0)</f>
        <v>-69.988424999999964</v>
      </c>
      <c r="AQ31" s="157">
        <f>IF(AQ28&lt;0,AQ28*Expenses!$D$60/12,0)</f>
        <v>-69.988424999999964</v>
      </c>
      <c r="AR31" s="157">
        <f>IF(AR28&lt;0,AR28*Expenses!$D$60/12,0)</f>
        <v>-69.988424999999964</v>
      </c>
      <c r="AS31" s="157">
        <f>IF(AS28&lt;0,AS28*Expenses!$D$60/12,0)</f>
        <v>-69.988424999999964</v>
      </c>
      <c r="AT31" s="157">
        <f>IF(AT28&lt;0,AT28*Expenses!$D$60/12,0)</f>
        <v>-69.988424999999964</v>
      </c>
      <c r="AU31" s="157">
        <f>IF(AU28&lt;0,AU28*Expenses!$D$60/12,0)</f>
        <v>-69.988424999999964</v>
      </c>
      <c r="AV31" s="157">
        <f>IF(AV28&lt;0,AV28*Expenses!$D$60/12,0)</f>
        <v>-69.988424999999964</v>
      </c>
      <c r="AW31" s="157">
        <f>IF(AW28&lt;0,AW28*Expenses!$D$60/12,0)</f>
        <v>-69.988424999999964</v>
      </c>
      <c r="AX31" s="157">
        <f>IF(AX28&lt;0,AX28*Expenses!$D$60/12,0)</f>
        <v>-69.988424999999964</v>
      </c>
      <c r="AY31" s="157">
        <f>IF(AY28&lt;0,AY28*Expenses!$D$60/12,0)</f>
        <v>-69.988424999999964</v>
      </c>
      <c r="AZ31" s="157">
        <f>IF(AZ28&lt;0,AZ28*Expenses!$D$60/12,0)</f>
        <v>-69.988424999999964</v>
      </c>
      <c r="BA31" s="157">
        <f>IF(BA28&lt;0,BA28*Expenses!$D$60/12,0)</f>
        <v>-69.988424999999964</v>
      </c>
      <c r="BB31" s="157">
        <f>IF(BB28&lt;0,BB28*Expenses!$D$60/12,0)</f>
        <v>-69.988424999999964</v>
      </c>
      <c r="BC31" s="157">
        <f>IF(BC28&lt;0,BC28*Expenses!$D$60/12,0)</f>
        <v>-69.988424999999964</v>
      </c>
      <c r="BD31" s="157">
        <f>IF(BD28&lt;0,BD28*Expenses!$D$60/12,0)</f>
        <v>-69.988424999999964</v>
      </c>
      <c r="BE31" s="157">
        <f>IF(BE28&lt;0,BE28*Expenses!$D$60/12,0)</f>
        <v>-69.988424999999964</v>
      </c>
      <c r="BF31" s="157">
        <f>IF(BF28&lt;0,BF28*Expenses!$D$60/12,0)</f>
        <v>-69.988424999999964</v>
      </c>
      <c r="BG31" s="157">
        <f>IF(BG28&lt;0,BG28*Expenses!$D$60/12,0)</f>
        <v>-69.988424999999964</v>
      </c>
      <c r="BH31" s="157">
        <f>IF(BH28&lt;0,BH28*Expenses!$D$60/12,0)</f>
        <v>-69.988424999999964</v>
      </c>
      <c r="BI31" s="157">
        <f>IF(BI28&lt;0,BI28*Expenses!$D$60/12,0)</f>
        <v>-69.988424999999964</v>
      </c>
      <c r="BJ31" s="157">
        <f>IF(BJ28&lt;0,BJ28*Expenses!$D$60/12,0)</f>
        <v>-69.988424999999964</v>
      </c>
      <c r="BK31" s="157">
        <f>IF(BK28&lt;0,BK28*Expenses!$D$60/12,0)</f>
        <v>-69.988424999999964</v>
      </c>
      <c r="BL31" s="157">
        <f>IF(BL28&lt;0,BL28*Expenses!$D$60/12,0)</f>
        <v>-69.988424999999964</v>
      </c>
    </row>
    <row r="33" spans="2:5" x14ac:dyDescent="0.2">
      <c r="B33" t="s">
        <v>4</v>
      </c>
    </row>
    <row r="34" spans="2:5" x14ac:dyDescent="0.2">
      <c r="B34" s="1"/>
      <c r="C34" s="4" t="s">
        <v>1</v>
      </c>
    </row>
    <row r="35" spans="2:5" x14ac:dyDescent="0.2">
      <c r="B35" s="2"/>
      <c r="C35" s="4" t="s">
        <v>2</v>
      </c>
    </row>
    <row r="36" spans="2:5" x14ac:dyDescent="0.2">
      <c r="B36" s="3"/>
      <c r="C36" s="4" t="s">
        <v>3</v>
      </c>
    </row>
    <row r="37" spans="2:5" x14ac:dyDescent="0.2">
      <c r="B37" t="s">
        <v>124</v>
      </c>
    </row>
    <row r="38" spans="2:5" x14ac:dyDescent="0.2">
      <c r="B38" s="25"/>
      <c r="E38" s="25"/>
    </row>
  </sheetData>
  <mergeCells count="8">
    <mergeCell ref="G2:I2"/>
    <mergeCell ref="G3:I3"/>
    <mergeCell ref="B8:C8"/>
    <mergeCell ref="C2:D2"/>
    <mergeCell ref="C3:D3"/>
    <mergeCell ref="C4:D4"/>
    <mergeCell ref="C5:D5"/>
    <mergeCell ref="G4:I4"/>
  </mergeCells>
  <phoneticPr fontId="2" type="noConversion"/>
  <printOptions horizontalCentered="1" verticalCentered="1" headings="1" gridLines="1"/>
  <pageMargins left="0.35433070866141736" right="0.35433070866141736" top="0.35433070866141736" bottom="0.31496062992125984" header="0.51181102362204722" footer="0.51181102362204722"/>
  <pageSetup paperSize="9" scale="68" fitToWidth="5" pageOrder="overThenDown" orientation="landscape" blackAndWhite="1" r:id="rId1"/>
  <headerFooter alignWithMargins="0">
    <oddHeader>&amp;A</oddHeader>
    <oddFooter>Strona &amp;P z &amp;N</oddFooter>
  </headerFooter>
  <colBreaks count="3" manualBreakCount="3">
    <brk id="33" max="26" man="1"/>
    <brk id="46" max="26" man="1"/>
    <brk id="57" max="26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Z82"/>
  <sheetViews>
    <sheetView tabSelected="1" topLeftCell="H7" zoomScale="85" zoomScaleNormal="85" workbookViewId="0">
      <selection activeCell="V17" sqref="V17"/>
    </sheetView>
  </sheetViews>
  <sheetFormatPr defaultRowHeight="12.75" x14ac:dyDescent="0.2"/>
  <cols>
    <col min="1" max="1" width="10.28515625" style="198" customWidth="1"/>
    <col min="2" max="2" width="34.140625" style="198" customWidth="1"/>
    <col min="3" max="3" width="13.5703125" style="165" customWidth="1"/>
    <col min="4" max="4" width="21.85546875" style="165" customWidth="1"/>
    <col min="5" max="5" width="13.140625" style="165" customWidth="1"/>
    <col min="6" max="7" width="20.5703125" style="165" customWidth="1"/>
    <col min="8" max="9" width="15.7109375" style="165" customWidth="1"/>
    <col min="10" max="10" width="2.7109375" style="168" customWidth="1"/>
    <col min="11" max="11" width="18.7109375" style="165" customWidth="1"/>
    <col min="12" max="12" width="20.7109375" style="165" customWidth="1"/>
    <col min="13" max="13" width="14.42578125" style="165" customWidth="1"/>
    <col min="14" max="14" width="14.7109375" style="165" customWidth="1"/>
    <col min="15" max="15" width="2.7109375" style="165" customWidth="1"/>
    <col min="16" max="17" width="15.7109375" style="165" customWidth="1"/>
    <col min="18" max="77" width="12.7109375" style="165" customWidth="1"/>
    <col min="78" max="16384" width="9.140625" style="165"/>
  </cols>
  <sheetData>
    <row r="1" spans="1:78" ht="20.25" x14ac:dyDescent="0.3">
      <c r="A1" s="252" t="s">
        <v>492</v>
      </c>
      <c r="B1" s="252"/>
      <c r="C1" s="177"/>
      <c r="D1" s="178"/>
      <c r="E1" s="178"/>
      <c r="F1" s="178"/>
      <c r="G1" s="178"/>
      <c r="H1" s="178"/>
      <c r="I1" s="178"/>
      <c r="J1" s="219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79"/>
      <c r="X1" s="179"/>
      <c r="Y1" s="179"/>
      <c r="Z1" s="179"/>
    </row>
    <row r="2" spans="1:78" ht="20.25" x14ac:dyDescent="0.3">
      <c r="A2" s="196"/>
      <c r="B2" s="196"/>
      <c r="C2" s="180"/>
      <c r="D2" s="181"/>
      <c r="E2" s="181"/>
      <c r="F2" s="181"/>
      <c r="G2" s="181"/>
      <c r="J2" s="219"/>
      <c r="K2" s="182" t="s">
        <v>4</v>
      </c>
      <c r="L2" s="182"/>
      <c r="M2" s="178"/>
      <c r="N2" s="178"/>
      <c r="O2" s="178"/>
      <c r="P2" s="178"/>
      <c r="Q2" s="178"/>
      <c r="R2" s="178"/>
      <c r="S2" s="178"/>
      <c r="V2" s="179"/>
      <c r="W2" s="179"/>
      <c r="X2" s="179"/>
      <c r="Y2" s="179"/>
      <c r="Z2" s="179"/>
    </row>
    <row r="3" spans="1:78" ht="15.75" x14ac:dyDescent="0.25">
      <c r="A3" s="262" t="s">
        <v>132</v>
      </c>
      <c r="B3" s="183"/>
      <c r="C3" s="183" t="str">
        <f>Forecast!G4</f>
        <v>POLISH ZŁOTY</v>
      </c>
      <c r="D3" s="263" t="s">
        <v>196</v>
      </c>
      <c r="E3" s="264" t="str">
        <f>Forecast!C2</f>
        <v>Project Name</v>
      </c>
      <c r="F3" s="264"/>
      <c r="G3" s="264"/>
      <c r="H3" s="253"/>
      <c r="I3" s="253"/>
      <c r="J3" s="165"/>
      <c r="K3" s="184"/>
      <c r="L3" s="185" t="s">
        <v>1</v>
      </c>
      <c r="S3" s="182"/>
      <c r="V3" s="179"/>
      <c r="W3" s="179"/>
      <c r="X3" s="179"/>
      <c r="Y3" s="179"/>
      <c r="Z3" s="179"/>
    </row>
    <row r="4" spans="1:78" ht="15.75" x14ac:dyDescent="0.25">
      <c r="A4" s="265" t="s">
        <v>133</v>
      </c>
      <c r="B4" s="186"/>
      <c r="C4" s="186" t="str">
        <f>Forecast!G3</f>
        <v>2018-00-00</v>
      </c>
      <c r="D4" s="263" t="s">
        <v>197</v>
      </c>
      <c r="E4" s="264" t="str">
        <f>Forecast!C3</f>
        <v>000000-00</v>
      </c>
      <c r="F4" s="264"/>
      <c r="G4" s="264"/>
      <c r="H4" s="169"/>
      <c r="I4" s="169"/>
      <c r="J4" s="253"/>
      <c r="K4" s="187"/>
      <c r="L4" s="185" t="s">
        <v>2</v>
      </c>
      <c r="S4" s="182"/>
      <c r="V4" s="179"/>
      <c r="W4" s="179"/>
      <c r="X4" s="179"/>
      <c r="Y4" s="179"/>
      <c r="Z4" s="179"/>
    </row>
    <row r="5" spans="1:78" x14ac:dyDescent="0.2">
      <c r="A5" s="197"/>
      <c r="B5" s="197"/>
      <c r="C5" s="188"/>
      <c r="D5" s="189"/>
      <c r="E5" s="189"/>
      <c r="F5" s="189"/>
      <c r="G5" s="189"/>
      <c r="J5" s="190"/>
      <c r="K5" s="192"/>
      <c r="L5" s="185" t="s">
        <v>3</v>
      </c>
      <c r="M5" s="189"/>
      <c r="N5" s="189"/>
      <c r="O5" s="189"/>
      <c r="P5" s="189"/>
      <c r="Q5" s="189"/>
      <c r="R5" s="191"/>
      <c r="S5" s="189"/>
      <c r="V5" s="179"/>
      <c r="W5" s="179"/>
      <c r="X5" s="179"/>
      <c r="Y5" s="179"/>
      <c r="Z5" s="179"/>
    </row>
    <row r="6" spans="1:78" x14ac:dyDescent="0.2">
      <c r="BZ6" s="214"/>
    </row>
    <row r="7" spans="1:78" ht="15.75" x14ac:dyDescent="0.25">
      <c r="H7" s="253"/>
      <c r="I7" s="253"/>
      <c r="J7" s="170"/>
      <c r="K7" s="254"/>
      <c r="L7" s="254"/>
      <c r="M7" s="254"/>
      <c r="N7" s="166"/>
      <c r="O7" s="166"/>
      <c r="P7" s="166"/>
      <c r="Q7" s="220" t="s">
        <v>145</v>
      </c>
      <c r="R7" s="167">
        <v>0</v>
      </c>
      <c r="S7" s="167">
        <v>0</v>
      </c>
      <c r="T7" s="167">
        <v>0</v>
      </c>
      <c r="U7" s="167">
        <v>0</v>
      </c>
      <c r="V7" s="167">
        <v>0</v>
      </c>
      <c r="W7" s="167">
        <v>0</v>
      </c>
      <c r="X7" s="167">
        <v>0</v>
      </c>
      <c r="Y7" s="167">
        <v>0</v>
      </c>
      <c r="Z7" s="167">
        <v>0</v>
      </c>
      <c r="AA7" s="167">
        <v>0</v>
      </c>
      <c r="AB7" s="167">
        <v>0</v>
      </c>
      <c r="AC7" s="167">
        <v>0</v>
      </c>
      <c r="AD7" s="167">
        <v>0.03</v>
      </c>
      <c r="AE7" s="167">
        <v>0.03</v>
      </c>
      <c r="AF7" s="167">
        <v>0.03</v>
      </c>
      <c r="AG7" s="167">
        <v>0.03</v>
      </c>
      <c r="AH7" s="167">
        <v>0.03</v>
      </c>
      <c r="AI7" s="167">
        <v>0.03</v>
      </c>
      <c r="AJ7" s="167">
        <v>0.03</v>
      </c>
      <c r="AK7" s="167">
        <v>0.03</v>
      </c>
      <c r="AL7" s="167">
        <v>0.03</v>
      </c>
      <c r="AM7" s="167">
        <v>0.03</v>
      </c>
      <c r="AN7" s="167">
        <v>0.03</v>
      </c>
      <c r="AO7" s="167">
        <v>0.03</v>
      </c>
      <c r="AP7" s="167">
        <v>7.0000000000000007E-2</v>
      </c>
      <c r="AQ7" s="167">
        <v>7.0000000000000007E-2</v>
      </c>
      <c r="AR7" s="167">
        <v>7.0000000000000007E-2</v>
      </c>
      <c r="AS7" s="167">
        <v>7.0000000000000007E-2</v>
      </c>
      <c r="AT7" s="167">
        <v>7.0000000000000007E-2</v>
      </c>
      <c r="AU7" s="167">
        <v>7.0000000000000007E-2</v>
      </c>
      <c r="AV7" s="167">
        <v>7.0000000000000007E-2</v>
      </c>
      <c r="AW7" s="167">
        <v>7.0000000000000007E-2</v>
      </c>
      <c r="AX7" s="167">
        <v>7.0000000000000007E-2</v>
      </c>
      <c r="AY7" s="167">
        <v>7.0000000000000007E-2</v>
      </c>
      <c r="AZ7" s="167">
        <v>7.0000000000000007E-2</v>
      </c>
      <c r="BA7" s="167">
        <v>7.0000000000000007E-2</v>
      </c>
      <c r="BB7" s="167">
        <v>0.12</v>
      </c>
      <c r="BC7" s="167">
        <v>0.12</v>
      </c>
      <c r="BD7" s="167">
        <v>0.12</v>
      </c>
      <c r="BE7" s="167">
        <v>0.12</v>
      </c>
      <c r="BF7" s="167">
        <v>0.12</v>
      </c>
      <c r="BG7" s="167">
        <v>0.12</v>
      </c>
      <c r="BH7" s="167">
        <v>0.12</v>
      </c>
      <c r="BI7" s="167">
        <v>0.12</v>
      </c>
      <c r="BJ7" s="167">
        <v>0.12</v>
      </c>
      <c r="BK7" s="167">
        <v>0.12</v>
      </c>
      <c r="BL7" s="167">
        <v>0.12</v>
      </c>
      <c r="BM7" s="167">
        <v>0.12</v>
      </c>
      <c r="BN7" s="167">
        <v>0.16</v>
      </c>
      <c r="BO7" s="167">
        <v>0.16</v>
      </c>
      <c r="BP7" s="167">
        <v>0.16</v>
      </c>
      <c r="BQ7" s="167">
        <v>0.16</v>
      </c>
      <c r="BR7" s="167">
        <v>0.16</v>
      </c>
      <c r="BS7" s="167">
        <v>0.16</v>
      </c>
      <c r="BT7" s="167">
        <v>0.16</v>
      </c>
      <c r="BU7" s="167">
        <v>0.16</v>
      </c>
      <c r="BV7" s="167">
        <v>0.16</v>
      </c>
      <c r="BW7" s="167">
        <v>0.16</v>
      </c>
      <c r="BX7" s="167">
        <v>0.16</v>
      </c>
      <c r="BY7" s="167">
        <v>0.16</v>
      </c>
      <c r="BZ7" s="214"/>
    </row>
    <row r="8" spans="1:78" s="168" customFormat="1" ht="15.75" x14ac:dyDescent="0.25">
      <c r="A8" s="199"/>
      <c r="B8" s="199"/>
      <c r="H8" s="169"/>
      <c r="I8" s="169"/>
      <c r="J8" s="170"/>
      <c r="K8" s="171"/>
      <c r="L8" s="171"/>
      <c r="M8" s="171"/>
      <c r="N8" s="171"/>
      <c r="O8" s="171"/>
      <c r="P8" s="171"/>
      <c r="Q8" s="171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215"/>
    </row>
    <row r="9" spans="1:78" s="199" customFormat="1" ht="20.100000000000001" customHeight="1" x14ac:dyDescent="0.2">
      <c r="A9" s="238" t="s">
        <v>97</v>
      </c>
      <c r="H9" s="210"/>
      <c r="I9" s="210"/>
      <c r="J9" s="211"/>
      <c r="K9" s="212"/>
      <c r="L9" s="212"/>
      <c r="M9" s="212"/>
      <c r="N9" s="212"/>
      <c r="O9" s="212"/>
      <c r="P9" s="212"/>
      <c r="Q9" s="212"/>
      <c r="R9" s="208" t="s">
        <v>193</v>
      </c>
      <c r="S9" s="208" t="s">
        <v>193</v>
      </c>
      <c r="T9" s="208" t="s">
        <v>193</v>
      </c>
      <c r="U9" s="208" t="s">
        <v>193</v>
      </c>
      <c r="V9" s="208" t="s">
        <v>193</v>
      </c>
      <c r="W9" s="208" t="s">
        <v>193</v>
      </c>
      <c r="X9" s="208" t="s">
        <v>193</v>
      </c>
      <c r="Y9" s="208" t="s">
        <v>193</v>
      </c>
      <c r="Z9" s="208" t="s">
        <v>193</v>
      </c>
      <c r="AA9" s="208" t="s">
        <v>193</v>
      </c>
      <c r="AB9" s="208" t="s">
        <v>193</v>
      </c>
      <c r="AC9" s="208" t="s">
        <v>193</v>
      </c>
      <c r="AD9" s="208" t="s">
        <v>193</v>
      </c>
      <c r="AE9" s="208" t="s">
        <v>193</v>
      </c>
      <c r="AF9" s="208" t="s">
        <v>193</v>
      </c>
      <c r="AG9" s="208" t="s">
        <v>193</v>
      </c>
      <c r="AH9" s="208" t="s">
        <v>193</v>
      </c>
      <c r="AI9" s="208" t="s">
        <v>193</v>
      </c>
      <c r="AJ9" s="208" t="s">
        <v>193</v>
      </c>
      <c r="AK9" s="208" t="s">
        <v>193</v>
      </c>
      <c r="AL9" s="208" t="s">
        <v>193</v>
      </c>
      <c r="AM9" s="208" t="s">
        <v>193</v>
      </c>
      <c r="AN9" s="208" t="s">
        <v>193</v>
      </c>
      <c r="AO9" s="208" t="s">
        <v>193</v>
      </c>
      <c r="AP9" s="208" t="s">
        <v>193</v>
      </c>
      <c r="AQ9" s="208" t="s">
        <v>193</v>
      </c>
      <c r="AR9" s="208" t="s">
        <v>193</v>
      </c>
      <c r="AS9" s="208" t="s">
        <v>193</v>
      </c>
      <c r="AT9" s="208" t="s">
        <v>193</v>
      </c>
      <c r="AU9" s="208" t="s">
        <v>193</v>
      </c>
      <c r="AV9" s="208" t="s">
        <v>193</v>
      </c>
      <c r="AW9" s="208" t="s">
        <v>193</v>
      </c>
      <c r="AX9" s="208" t="s">
        <v>193</v>
      </c>
      <c r="AY9" s="208" t="s">
        <v>193</v>
      </c>
      <c r="AZ9" s="208" t="s">
        <v>193</v>
      </c>
      <c r="BA9" s="208" t="s">
        <v>193</v>
      </c>
      <c r="BB9" s="208" t="s">
        <v>193</v>
      </c>
      <c r="BC9" s="208" t="s">
        <v>193</v>
      </c>
      <c r="BD9" s="208" t="s">
        <v>193</v>
      </c>
      <c r="BE9" s="208" t="s">
        <v>193</v>
      </c>
      <c r="BF9" s="208" t="s">
        <v>193</v>
      </c>
      <c r="BG9" s="208" t="s">
        <v>193</v>
      </c>
      <c r="BH9" s="208" t="s">
        <v>193</v>
      </c>
      <c r="BI9" s="208" t="s">
        <v>193</v>
      </c>
      <c r="BJ9" s="208" t="s">
        <v>193</v>
      </c>
      <c r="BK9" s="208" t="s">
        <v>193</v>
      </c>
      <c r="BL9" s="208" t="s">
        <v>193</v>
      </c>
      <c r="BM9" s="208" t="s">
        <v>193</v>
      </c>
      <c r="BN9" s="208" t="s">
        <v>193</v>
      </c>
      <c r="BO9" s="208" t="s">
        <v>193</v>
      </c>
      <c r="BP9" s="208" t="s">
        <v>193</v>
      </c>
      <c r="BQ9" s="208" t="s">
        <v>193</v>
      </c>
      <c r="BR9" s="208" t="s">
        <v>193</v>
      </c>
      <c r="BS9" s="208" t="s">
        <v>193</v>
      </c>
      <c r="BT9" s="208" t="s">
        <v>193</v>
      </c>
      <c r="BU9" s="208" t="s">
        <v>193</v>
      </c>
      <c r="BV9" s="208" t="s">
        <v>193</v>
      </c>
      <c r="BW9" s="208" t="s">
        <v>193</v>
      </c>
      <c r="BX9" s="208" t="s">
        <v>193</v>
      </c>
      <c r="BY9" s="208" t="s">
        <v>193</v>
      </c>
      <c r="BZ9" s="216"/>
    </row>
    <row r="10" spans="1:78" s="198" customFormat="1" ht="20.100000000000001" customHeight="1" thickBot="1" x14ac:dyDescent="0.25">
      <c r="A10" s="283" t="s">
        <v>200</v>
      </c>
      <c r="B10" s="283"/>
      <c r="C10" s="283"/>
      <c r="D10" s="283"/>
      <c r="E10" s="283"/>
      <c r="F10" s="283"/>
      <c r="G10" s="283"/>
      <c r="H10" s="283"/>
      <c r="I10" s="283"/>
      <c r="J10" s="209"/>
      <c r="K10" s="282" t="s">
        <v>204</v>
      </c>
      <c r="L10" s="282"/>
      <c r="M10" s="282"/>
      <c r="N10" s="282"/>
      <c r="O10" s="209"/>
      <c r="P10" s="224"/>
      <c r="Q10" s="225" t="s">
        <v>130</v>
      </c>
      <c r="R10" s="213">
        <f>Forecast!E8</f>
        <v>43282</v>
      </c>
      <c r="S10" s="213">
        <f>Forecast!F8</f>
        <v>43313</v>
      </c>
      <c r="T10" s="213">
        <f>Forecast!G8</f>
        <v>43344</v>
      </c>
      <c r="U10" s="213">
        <f>Forecast!H8</f>
        <v>43374</v>
      </c>
      <c r="V10" s="213">
        <f>Forecast!I8</f>
        <v>43405</v>
      </c>
      <c r="W10" s="213">
        <f>Forecast!J8</f>
        <v>43435</v>
      </c>
      <c r="X10" s="213">
        <f>Forecast!K8</f>
        <v>43466</v>
      </c>
      <c r="Y10" s="213">
        <f>Forecast!L8</f>
        <v>43497</v>
      </c>
      <c r="Z10" s="213">
        <f>Forecast!M8</f>
        <v>43525</v>
      </c>
      <c r="AA10" s="213">
        <f>Forecast!N8</f>
        <v>43556</v>
      </c>
      <c r="AB10" s="213">
        <f>Forecast!O8</f>
        <v>43586</v>
      </c>
      <c r="AC10" s="213">
        <f>Forecast!P8</f>
        <v>43617</v>
      </c>
      <c r="AD10" s="213">
        <f>Forecast!Q8</f>
        <v>43647</v>
      </c>
      <c r="AE10" s="213">
        <f>Forecast!R8</f>
        <v>43678</v>
      </c>
      <c r="AF10" s="213">
        <f>Forecast!S8</f>
        <v>43709</v>
      </c>
      <c r="AG10" s="213">
        <f>Forecast!T8</f>
        <v>43739</v>
      </c>
      <c r="AH10" s="213">
        <f>Forecast!U8</f>
        <v>43770</v>
      </c>
      <c r="AI10" s="213">
        <f>Forecast!V8</f>
        <v>43800</v>
      </c>
      <c r="AJ10" s="213">
        <f>Forecast!W8</f>
        <v>43831</v>
      </c>
      <c r="AK10" s="213">
        <f>Forecast!X8</f>
        <v>43862</v>
      </c>
      <c r="AL10" s="213">
        <f>Forecast!Y8</f>
        <v>43891</v>
      </c>
      <c r="AM10" s="213">
        <f>Forecast!Z8</f>
        <v>43922</v>
      </c>
      <c r="AN10" s="213">
        <f>Forecast!AA8</f>
        <v>43952</v>
      </c>
      <c r="AO10" s="213">
        <f>Forecast!AB8</f>
        <v>43983</v>
      </c>
      <c r="AP10" s="213">
        <f>Forecast!AC8</f>
        <v>44013</v>
      </c>
      <c r="AQ10" s="213">
        <f>Forecast!AD8</f>
        <v>44044</v>
      </c>
      <c r="AR10" s="213">
        <f>Forecast!AE8</f>
        <v>44075</v>
      </c>
      <c r="AS10" s="213">
        <f>Forecast!AF8</f>
        <v>44105</v>
      </c>
      <c r="AT10" s="213">
        <f>Forecast!AG8</f>
        <v>44136</v>
      </c>
      <c r="AU10" s="213">
        <f>Forecast!AH8</f>
        <v>44166</v>
      </c>
      <c r="AV10" s="213">
        <f>Forecast!AI8</f>
        <v>44197</v>
      </c>
      <c r="AW10" s="213">
        <f>Forecast!AJ8</f>
        <v>44228</v>
      </c>
      <c r="AX10" s="213">
        <f>Forecast!AK8</f>
        <v>44256</v>
      </c>
      <c r="AY10" s="213">
        <f>Forecast!AL8</f>
        <v>44287</v>
      </c>
      <c r="AZ10" s="213">
        <f>Forecast!AM8</f>
        <v>44317</v>
      </c>
      <c r="BA10" s="213">
        <f>Forecast!AN8</f>
        <v>44348</v>
      </c>
      <c r="BB10" s="213">
        <f>Forecast!AO8</f>
        <v>44378</v>
      </c>
      <c r="BC10" s="213">
        <f>Forecast!AP8</f>
        <v>44409</v>
      </c>
      <c r="BD10" s="213">
        <f>Forecast!AQ8</f>
        <v>44440</v>
      </c>
      <c r="BE10" s="213">
        <f>Forecast!AR8</f>
        <v>44470</v>
      </c>
      <c r="BF10" s="213">
        <f>Forecast!AS8</f>
        <v>44501</v>
      </c>
      <c r="BG10" s="213">
        <f>Forecast!AT8</f>
        <v>44531</v>
      </c>
      <c r="BH10" s="213">
        <f>Forecast!AU8</f>
        <v>44562</v>
      </c>
      <c r="BI10" s="213">
        <f>Forecast!AV8</f>
        <v>44593</v>
      </c>
      <c r="BJ10" s="213">
        <f>Forecast!AW8</f>
        <v>44621</v>
      </c>
      <c r="BK10" s="213">
        <f>Forecast!AX8</f>
        <v>44652</v>
      </c>
      <c r="BL10" s="213">
        <f>Forecast!AY8</f>
        <v>44682</v>
      </c>
      <c r="BM10" s="213">
        <f>Forecast!AZ8</f>
        <v>44713</v>
      </c>
      <c r="BN10" s="213">
        <f>Forecast!BA8</f>
        <v>44743</v>
      </c>
      <c r="BO10" s="213">
        <f>Forecast!BB8</f>
        <v>44774</v>
      </c>
      <c r="BP10" s="213">
        <f>Forecast!BC8</f>
        <v>44805</v>
      </c>
      <c r="BQ10" s="213">
        <f>Forecast!BD8</f>
        <v>44835</v>
      </c>
      <c r="BR10" s="213">
        <f>Forecast!BE8</f>
        <v>44866</v>
      </c>
      <c r="BS10" s="213">
        <f>Forecast!BF8</f>
        <v>44896</v>
      </c>
      <c r="BT10" s="213">
        <f>Forecast!BG8</f>
        <v>44927</v>
      </c>
      <c r="BU10" s="213">
        <f>Forecast!BH8</f>
        <v>44958</v>
      </c>
      <c r="BV10" s="213">
        <f>Forecast!BI8</f>
        <v>44986</v>
      </c>
      <c r="BW10" s="213">
        <f>Forecast!BJ8</f>
        <v>45017</v>
      </c>
      <c r="BX10" s="213">
        <f>Forecast!BK8</f>
        <v>45047</v>
      </c>
      <c r="BY10" s="213">
        <f>Forecast!BL8</f>
        <v>45078</v>
      </c>
      <c r="BZ10" s="217"/>
    </row>
    <row r="11" spans="1:78" s="236" customFormat="1" ht="33.75" customHeight="1" x14ac:dyDescent="0.2">
      <c r="A11" s="248" t="s">
        <v>189</v>
      </c>
      <c r="B11" s="248" t="s">
        <v>485</v>
      </c>
      <c r="C11" s="248" t="s">
        <v>180</v>
      </c>
      <c r="D11" s="248" t="s">
        <v>181</v>
      </c>
      <c r="E11" s="248" t="s">
        <v>182</v>
      </c>
      <c r="F11" s="249" t="s">
        <v>491</v>
      </c>
      <c r="G11" s="248" t="s">
        <v>205</v>
      </c>
      <c r="H11" s="249" t="s">
        <v>206</v>
      </c>
      <c r="I11" s="249" t="s">
        <v>493</v>
      </c>
      <c r="J11" s="232"/>
      <c r="K11" s="249" t="s">
        <v>191</v>
      </c>
      <c r="L11" s="249" t="s">
        <v>192</v>
      </c>
      <c r="M11" s="249" t="s">
        <v>194</v>
      </c>
      <c r="N11" s="249" t="s">
        <v>195</v>
      </c>
      <c r="O11" s="233"/>
      <c r="P11" s="250" t="s">
        <v>199</v>
      </c>
      <c r="Q11" s="251" t="s">
        <v>198</v>
      </c>
      <c r="R11" s="234" t="s">
        <v>15</v>
      </c>
      <c r="S11" s="234" t="s">
        <v>16</v>
      </c>
      <c r="T11" s="234" t="s">
        <v>17</v>
      </c>
      <c r="U11" s="234" t="s">
        <v>18</v>
      </c>
      <c r="V11" s="234" t="s">
        <v>19</v>
      </c>
      <c r="W11" s="234" t="s">
        <v>20</v>
      </c>
      <c r="X11" s="234" t="s">
        <v>21</v>
      </c>
      <c r="Y11" s="234" t="s">
        <v>22</v>
      </c>
      <c r="Z11" s="234" t="s">
        <v>23</v>
      </c>
      <c r="AA11" s="234" t="s">
        <v>24</v>
      </c>
      <c r="AB11" s="234" t="s">
        <v>25</v>
      </c>
      <c r="AC11" s="234" t="s">
        <v>26</v>
      </c>
      <c r="AD11" s="234" t="s">
        <v>27</v>
      </c>
      <c r="AE11" s="234" t="s">
        <v>28</v>
      </c>
      <c r="AF11" s="234" t="s">
        <v>29</v>
      </c>
      <c r="AG11" s="234" t="s">
        <v>30</v>
      </c>
      <c r="AH11" s="234" t="s">
        <v>31</v>
      </c>
      <c r="AI11" s="234" t="s">
        <v>32</v>
      </c>
      <c r="AJ11" s="234" t="s">
        <v>33</v>
      </c>
      <c r="AK11" s="234" t="s">
        <v>34</v>
      </c>
      <c r="AL11" s="234" t="s">
        <v>35</v>
      </c>
      <c r="AM11" s="234" t="s">
        <v>36</v>
      </c>
      <c r="AN11" s="234" t="s">
        <v>37</v>
      </c>
      <c r="AO11" s="234" t="s">
        <v>38</v>
      </c>
      <c r="AP11" s="234" t="s">
        <v>39</v>
      </c>
      <c r="AQ11" s="234" t="s">
        <v>40</v>
      </c>
      <c r="AR11" s="234" t="s">
        <v>41</v>
      </c>
      <c r="AS11" s="234" t="s">
        <v>42</v>
      </c>
      <c r="AT11" s="234" t="s">
        <v>43</v>
      </c>
      <c r="AU11" s="234" t="s">
        <v>44</v>
      </c>
      <c r="AV11" s="234" t="s">
        <v>45</v>
      </c>
      <c r="AW11" s="234" t="s">
        <v>46</v>
      </c>
      <c r="AX11" s="234" t="s">
        <v>47</v>
      </c>
      <c r="AY11" s="234" t="s">
        <v>48</v>
      </c>
      <c r="AZ11" s="234" t="s">
        <v>49</v>
      </c>
      <c r="BA11" s="234" t="s">
        <v>50</v>
      </c>
      <c r="BB11" s="234" t="s">
        <v>51</v>
      </c>
      <c r="BC11" s="234" t="s">
        <v>52</v>
      </c>
      <c r="BD11" s="234" t="s">
        <v>53</v>
      </c>
      <c r="BE11" s="234" t="s">
        <v>54</v>
      </c>
      <c r="BF11" s="234" t="s">
        <v>55</v>
      </c>
      <c r="BG11" s="234" t="s">
        <v>56</v>
      </c>
      <c r="BH11" s="234" t="s">
        <v>57</v>
      </c>
      <c r="BI11" s="234" t="s">
        <v>58</v>
      </c>
      <c r="BJ11" s="234" t="s">
        <v>59</v>
      </c>
      <c r="BK11" s="234" t="s">
        <v>60</v>
      </c>
      <c r="BL11" s="234" t="s">
        <v>61</v>
      </c>
      <c r="BM11" s="234" t="s">
        <v>62</v>
      </c>
      <c r="BN11" s="234" t="s">
        <v>63</v>
      </c>
      <c r="BO11" s="234" t="s">
        <v>64</v>
      </c>
      <c r="BP11" s="234" t="s">
        <v>65</v>
      </c>
      <c r="BQ11" s="234" t="s">
        <v>66</v>
      </c>
      <c r="BR11" s="234" t="s">
        <v>67</v>
      </c>
      <c r="BS11" s="234" t="s">
        <v>68</v>
      </c>
      <c r="BT11" s="234" t="s">
        <v>69</v>
      </c>
      <c r="BU11" s="234" t="s">
        <v>70</v>
      </c>
      <c r="BV11" s="234" t="s">
        <v>71</v>
      </c>
      <c r="BW11" s="234" t="s">
        <v>72</v>
      </c>
      <c r="BX11" s="234" t="s">
        <v>73</v>
      </c>
      <c r="BY11" s="234" t="s">
        <v>74</v>
      </c>
      <c r="BZ11" s="235"/>
    </row>
    <row r="12" spans="1:78" s="198" customFormat="1" ht="15" customHeight="1" x14ac:dyDescent="0.2">
      <c r="A12" s="195">
        <v>1</v>
      </c>
      <c r="B12" s="195" t="s">
        <v>496</v>
      </c>
      <c r="C12" s="247">
        <f>IFERROR(VLOOKUP(B12,Resource!$A$1:$I$200,2,FALSE),"")</f>
        <v>34636</v>
      </c>
      <c r="D12" s="247" t="str">
        <f>IFERROR(VLOOKUP(B12,Resource!$A$1:$I$200,7,FALSE),"")</f>
        <v>Electrical</v>
      </c>
      <c r="E12" s="247">
        <f>IFERROR(VLOOKUP(B12,Resource!$A$1:$I$200,8,FALSE),"")</f>
        <v>5</v>
      </c>
      <c r="F12" s="247" t="str">
        <f>IFERROR(VLOOKUP(B12,Resource!$A$1:$I$200,9,FALSE),"")</f>
        <v>KRK</v>
      </c>
      <c r="G12" s="195" t="s">
        <v>488</v>
      </c>
      <c r="H12" s="205">
        <f t="shared" ref="H12:H41" si="0">_xlfn.SWITCH(E12,1,$B$71,2,$B$72,3,$B$73,4,$B$74,5,$B$75,6,$B$76,7,$B$77,8,$B$78,9,$B$79,"No match")</f>
        <v>409</v>
      </c>
      <c r="I12" s="247"/>
      <c r="J12" s="206"/>
      <c r="K12" s="195" t="s">
        <v>188</v>
      </c>
      <c r="L12" s="195" t="s">
        <v>201</v>
      </c>
      <c r="M12" s="195"/>
      <c r="N12" s="195"/>
      <c r="O12" s="222"/>
      <c r="P12" s="226">
        <f>IF(I12&lt;&gt;0,I12*Q12,IF(ISNUMBER(H12),(H12*Q12),0))</f>
        <v>9407</v>
      </c>
      <c r="Q12" s="227">
        <f>SUM(R12:BY12)</f>
        <v>23</v>
      </c>
      <c r="R12" s="223">
        <v>1</v>
      </c>
      <c r="S12" s="195">
        <v>1</v>
      </c>
      <c r="T12" s="195">
        <v>2</v>
      </c>
      <c r="U12" s="195">
        <v>3</v>
      </c>
      <c r="V12" s="195">
        <v>0.5</v>
      </c>
      <c r="W12" s="195">
        <v>0.5</v>
      </c>
      <c r="X12" s="195">
        <v>0.5</v>
      </c>
      <c r="Y12" s="195">
        <v>0.5</v>
      </c>
      <c r="Z12" s="195">
        <v>0.5</v>
      </c>
      <c r="AA12" s="195">
        <v>0.5</v>
      </c>
      <c r="AB12" s="195">
        <v>0.5</v>
      </c>
      <c r="AC12" s="195">
        <v>0.5</v>
      </c>
      <c r="AD12" s="195">
        <v>0.5</v>
      </c>
      <c r="AE12" s="195">
        <v>0.5</v>
      </c>
      <c r="AF12" s="195">
        <v>0.5</v>
      </c>
      <c r="AG12" s="195">
        <v>0.5</v>
      </c>
      <c r="AH12" s="195">
        <v>0.5</v>
      </c>
      <c r="AI12" s="195">
        <v>0.5</v>
      </c>
      <c r="AJ12" s="195">
        <v>0.5</v>
      </c>
      <c r="AK12" s="195">
        <v>0.5</v>
      </c>
      <c r="AL12" s="195">
        <v>0.5</v>
      </c>
      <c r="AM12" s="195">
        <v>0.5</v>
      </c>
      <c r="AN12" s="195">
        <v>0.5</v>
      </c>
      <c r="AO12" s="195">
        <v>0.5</v>
      </c>
      <c r="AP12" s="195">
        <v>0.5</v>
      </c>
      <c r="AQ12" s="195">
        <v>0.5</v>
      </c>
      <c r="AR12" s="195">
        <v>0.5</v>
      </c>
      <c r="AS12" s="195">
        <v>0.5</v>
      </c>
      <c r="AT12" s="195">
        <v>0.5</v>
      </c>
      <c r="AU12" s="195">
        <v>0.5</v>
      </c>
      <c r="AV12" s="195">
        <v>0.5</v>
      </c>
      <c r="AW12" s="195">
        <v>0.5</v>
      </c>
      <c r="AX12" s="195">
        <v>0.5</v>
      </c>
      <c r="AY12" s="195">
        <v>0.5</v>
      </c>
      <c r="AZ12" s="195">
        <v>0.5</v>
      </c>
      <c r="BA12" s="195">
        <v>0.5</v>
      </c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95"/>
      <c r="BV12" s="195"/>
      <c r="BW12" s="195"/>
      <c r="BX12" s="195"/>
      <c r="BY12" s="195"/>
      <c r="BZ12" s="218"/>
    </row>
    <row r="13" spans="1:78" s="198" customFormat="1" ht="15" customHeight="1" x14ac:dyDescent="0.2">
      <c r="A13" s="195">
        <v>2</v>
      </c>
      <c r="B13" s="195" t="s">
        <v>497</v>
      </c>
      <c r="C13" s="247">
        <f>IFERROR(VLOOKUP(B13,Resource!$A$1:$I$200,2,FALSE),"")</f>
        <v>57179</v>
      </c>
      <c r="D13" s="247" t="str">
        <f>IFERROR(VLOOKUP(B13,Resource!$A$1:$I$200,7,FALSE),"")</f>
        <v>Water</v>
      </c>
      <c r="E13" s="247">
        <f>IFERROR(VLOOKUP(B13,Resource!$A$1:$I$200,8,FALSE),"")</f>
        <v>2</v>
      </c>
      <c r="F13" s="247" t="str">
        <f>IFERROR(VLOOKUP(B13,Resource!$A$1:$I$200,9,FALSE),"")</f>
        <v>KRK</v>
      </c>
      <c r="G13" s="195" t="s">
        <v>488</v>
      </c>
      <c r="H13" s="205">
        <f t="shared" si="0"/>
        <v>203</v>
      </c>
      <c r="I13" s="247"/>
      <c r="J13" s="206"/>
      <c r="K13" s="195" t="s">
        <v>188</v>
      </c>
      <c r="L13" s="195" t="s">
        <v>202</v>
      </c>
      <c r="M13" s="195"/>
      <c r="N13" s="195"/>
      <c r="O13" s="222"/>
      <c r="P13" s="226">
        <f t="shared" ref="P13:P62" si="1">IF(I13&lt;&gt;0,I13*Q13,IF(ISNUMBER(H13),(H13*Q13),0))</f>
        <v>507.5</v>
      </c>
      <c r="Q13" s="227">
        <f>SUM(R13:BY13)</f>
        <v>2.5</v>
      </c>
      <c r="R13" s="223">
        <v>1</v>
      </c>
      <c r="S13" s="195">
        <v>0.5</v>
      </c>
      <c r="T13" s="195">
        <v>0.5</v>
      </c>
      <c r="U13" s="195">
        <v>0.5</v>
      </c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</row>
    <row r="14" spans="1:78" s="198" customFormat="1" ht="15" customHeight="1" x14ac:dyDescent="0.2">
      <c r="A14" s="195">
        <v>3</v>
      </c>
      <c r="B14" s="195"/>
      <c r="C14" s="247" t="str">
        <f>IFERROR(VLOOKUP(B14,Resource!$A$1:$I$200,2,FALSE),"")</f>
        <v/>
      </c>
      <c r="D14" s="247" t="str">
        <f>IFERROR(VLOOKUP(B14,Resource!$A$1:$I$200,7,FALSE),"")</f>
        <v/>
      </c>
      <c r="E14" s="247" t="str">
        <f>IFERROR(VLOOKUP(B14,Resource!$A$1:$I$200,8,FALSE),"")</f>
        <v/>
      </c>
      <c r="F14" s="247" t="str">
        <f>IFERROR(VLOOKUP(B14,Resource!$A$1:$I$200,9,FALSE),"")</f>
        <v/>
      </c>
      <c r="G14" s="195" t="s">
        <v>488</v>
      </c>
      <c r="H14" s="205" t="str">
        <f t="shared" si="0"/>
        <v>No match</v>
      </c>
      <c r="I14" s="247"/>
      <c r="J14" s="206"/>
      <c r="K14" s="195" t="s">
        <v>188</v>
      </c>
      <c r="L14" s="195" t="s">
        <v>203</v>
      </c>
      <c r="M14" s="195"/>
      <c r="N14" s="195"/>
      <c r="O14" s="222"/>
      <c r="P14" s="226">
        <f>IF(I14&lt;&gt;0,I14*Q14,IF(ISNUMBER(H14),(H14*Q14),0))</f>
        <v>0</v>
      </c>
      <c r="Q14" s="227">
        <f t="shared" ref="Q14:Q62" si="2">SUM(R14:BY14)</f>
        <v>0</v>
      </c>
      <c r="R14" s="223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5"/>
      <c r="AK14" s="195"/>
      <c r="AL14" s="195"/>
      <c r="AM14" s="195"/>
      <c r="AN14" s="195"/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95"/>
      <c r="BV14" s="195"/>
      <c r="BW14" s="195"/>
      <c r="BX14" s="195"/>
      <c r="BY14" s="195"/>
    </row>
    <row r="15" spans="1:78" s="198" customFormat="1" ht="15" customHeight="1" x14ac:dyDescent="0.2">
      <c r="A15" s="195">
        <v>4</v>
      </c>
      <c r="B15" s="195"/>
      <c r="C15" s="247" t="str">
        <f>IFERROR(VLOOKUP(B15,Resource!$A$1:$I$200,2,FALSE),"")</f>
        <v/>
      </c>
      <c r="D15" s="247" t="str">
        <f>IFERROR(VLOOKUP(B15,Resource!$A$1:$I$200,7,FALSE),"")</f>
        <v/>
      </c>
      <c r="E15" s="247" t="str">
        <f>IFERROR(VLOOKUP(B15,Resource!$A$1:$I$200,8,FALSE),"")</f>
        <v/>
      </c>
      <c r="F15" s="247" t="str">
        <f>IFERROR(VLOOKUP(B15,Resource!$A$1:$I$200,9,FALSE),"")</f>
        <v/>
      </c>
      <c r="G15" s="195" t="s">
        <v>488</v>
      </c>
      <c r="H15" s="205" t="str">
        <f t="shared" si="0"/>
        <v>No match</v>
      </c>
      <c r="I15" s="247"/>
      <c r="J15" s="206"/>
      <c r="K15" s="195"/>
      <c r="L15" s="195"/>
      <c r="M15" s="195"/>
      <c r="N15" s="195"/>
      <c r="O15" s="222"/>
      <c r="P15" s="226">
        <f t="shared" si="1"/>
        <v>0</v>
      </c>
      <c r="Q15" s="227">
        <f t="shared" si="2"/>
        <v>0</v>
      </c>
      <c r="R15" s="223"/>
      <c r="S15" s="195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  <c r="AD15" s="195"/>
      <c r="AE15" s="195"/>
      <c r="AF15" s="195"/>
      <c r="AG15" s="195"/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/>
      <c r="BC15" s="195"/>
      <c r="BD15" s="195"/>
      <c r="BE15" s="195"/>
      <c r="BF15" s="195"/>
      <c r="BG15" s="195"/>
      <c r="BH15" s="195"/>
      <c r="BI15" s="195"/>
      <c r="BJ15" s="195"/>
      <c r="BK15" s="195"/>
      <c r="BL15" s="195"/>
      <c r="BM15" s="195"/>
      <c r="BN15" s="195"/>
      <c r="BO15" s="195"/>
      <c r="BP15" s="195"/>
      <c r="BQ15" s="195"/>
      <c r="BR15" s="195"/>
      <c r="BS15" s="195"/>
      <c r="BT15" s="195"/>
      <c r="BU15" s="195"/>
      <c r="BV15" s="195"/>
      <c r="BW15" s="195"/>
      <c r="BX15" s="195"/>
      <c r="BY15" s="195"/>
    </row>
    <row r="16" spans="1:78" s="198" customFormat="1" ht="15" customHeight="1" x14ac:dyDescent="0.2">
      <c r="A16" s="195">
        <v>5</v>
      </c>
      <c r="B16" s="195"/>
      <c r="C16" s="247" t="str">
        <f>IFERROR(VLOOKUP(B16,Resource!$A$1:$I$200,2,FALSE),"")</f>
        <v/>
      </c>
      <c r="D16" s="247" t="str">
        <f>IFERROR(VLOOKUP(B16,Resource!$A$1:$I$200,7,FALSE),"")</f>
        <v/>
      </c>
      <c r="E16" s="247" t="str">
        <f>IFERROR(VLOOKUP(B16,Resource!$A$1:$I$200,8,FALSE),"")</f>
        <v/>
      </c>
      <c r="F16" s="247" t="str">
        <f>IFERROR(VLOOKUP(B16,Resource!$A$1:$I$200,9,FALSE),"")</f>
        <v/>
      </c>
      <c r="G16" s="195" t="s">
        <v>488</v>
      </c>
      <c r="H16" s="205" t="str">
        <f t="shared" si="0"/>
        <v>No match</v>
      </c>
      <c r="I16" s="247"/>
      <c r="J16" s="206"/>
      <c r="K16" s="195"/>
      <c r="L16" s="195"/>
      <c r="M16" s="195"/>
      <c r="N16" s="195"/>
      <c r="O16" s="222"/>
      <c r="P16" s="226">
        <f t="shared" si="1"/>
        <v>0</v>
      </c>
      <c r="Q16" s="227">
        <f t="shared" si="2"/>
        <v>0</v>
      </c>
      <c r="R16" s="223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  <c r="BG16" s="195"/>
      <c r="BH16" s="195"/>
      <c r="BI16" s="195"/>
      <c r="BJ16" s="195"/>
      <c r="BK16" s="195"/>
      <c r="BL16" s="195"/>
      <c r="BM16" s="195"/>
      <c r="BN16" s="195"/>
      <c r="BO16" s="195"/>
      <c r="BP16" s="195"/>
      <c r="BQ16" s="195"/>
      <c r="BR16" s="195"/>
      <c r="BS16" s="195"/>
      <c r="BT16" s="195"/>
      <c r="BU16" s="195"/>
      <c r="BV16" s="195"/>
      <c r="BW16" s="195"/>
      <c r="BX16" s="195"/>
      <c r="BY16" s="195"/>
    </row>
    <row r="17" spans="1:77" s="198" customFormat="1" ht="15" customHeight="1" x14ac:dyDescent="0.2">
      <c r="A17" s="195">
        <v>6</v>
      </c>
      <c r="B17" s="195"/>
      <c r="C17" s="247" t="str">
        <f>IFERROR(VLOOKUP(B17,Resource!$A$1:$I$200,2,FALSE),"")</f>
        <v/>
      </c>
      <c r="D17" s="247" t="str">
        <f>IFERROR(VLOOKUP(B17,Resource!$A$1:$I$200,7,FALSE),"")</f>
        <v/>
      </c>
      <c r="E17" s="247" t="str">
        <f>IFERROR(VLOOKUP(B17,Resource!$A$1:$I$200,8,FALSE),"")</f>
        <v/>
      </c>
      <c r="F17" s="247" t="str">
        <f>IFERROR(VLOOKUP(B17,Resource!$A$1:$I$200,9,FALSE),"")</f>
        <v/>
      </c>
      <c r="G17" s="195" t="s">
        <v>488</v>
      </c>
      <c r="H17" s="205" t="str">
        <f t="shared" si="0"/>
        <v>No match</v>
      </c>
      <c r="I17" s="247"/>
      <c r="J17" s="206"/>
      <c r="K17" s="195"/>
      <c r="L17" s="195"/>
      <c r="M17" s="195"/>
      <c r="N17" s="195"/>
      <c r="O17" s="222"/>
      <c r="P17" s="226">
        <f t="shared" si="1"/>
        <v>0</v>
      </c>
      <c r="Q17" s="227">
        <f t="shared" si="2"/>
        <v>0</v>
      </c>
      <c r="R17" s="223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5"/>
      <c r="AD17" s="195"/>
      <c r="AE17" s="195"/>
      <c r="AF17" s="195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5"/>
      <c r="BG17" s="195"/>
      <c r="BH17" s="195"/>
      <c r="BI17" s="195"/>
      <c r="BJ17" s="195"/>
      <c r="BK17" s="195"/>
      <c r="BL17" s="195"/>
      <c r="BM17" s="195"/>
      <c r="BN17" s="195"/>
      <c r="BO17" s="195"/>
      <c r="BP17" s="195"/>
      <c r="BQ17" s="195"/>
      <c r="BR17" s="195"/>
      <c r="BS17" s="195"/>
      <c r="BT17" s="195"/>
      <c r="BU17" s="195"/>
      <c r="BV17" s="195"/>
      <c r="BW17" s="195"/>
      <c r="BX17" s="195"/>
      <c r="BY17" s="195"/>
    </row>
    <row r="18" spans="1:77" s="198" customFormat="1" ht="15" customHeight="1" x14ac:dyDescent="0.2">
      <c r="A18" s="195">
        <v>7</v>
      </c>
      <c r="B18" s="195"/>
      <c r="C18" s="247" t="str">
        <f>IFERROR(VLOOKUP(B18,Resource!$A$1:$I$200,2,FALSE),"")</f>
        <v/>
      </c>
      <c r="D18" s="247" t="str">
        <f>IFERROR(VLOOKUP(B18,Resource!$A$1:$I$200,7,FALSE),"")</f>
        <v/>
      </c>
      <c r="E18" s="247" t="str">
        <f>IFERROR(VLOOKUP(B18,Resource!$A$1:$I$200,8,FALSE),"")</f>
        <v/>
      </c>
      <c r="F18" s="247" t="str">
        <f>IFERROR(VLOOKUP(B18,Resource!$A$1:$I$200,9,FALSE),"")</f>
        <v/>
      </c>
      <c r="G18" s="195" t="s">
        <v>488</v>
      </c>
      <c r="H18" s="205" t="str">
        <f t="shared" si="0"/>
        <v>No match</v>
      </c>
      <c r="I18" s="247"/>
      <c r="J18" s="206"/>
      <c r="K18" s="195"/>
      <c r="L18" s="195"/>
      <c r="M18" s="195"/>
      <c r="N18" s="195"/>
      <c r="O18" s="222"/>
      <c r="P18" s="226">
        <f t="shared" si="1"/>
        <v>0</v>
      </c>
      <c r="Q18" s="227">
        <f t="shared" si="2"/>
        <v>0</v>
      </c>
      <c r="R18" s="223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  <c r="BD18" s="195"/>
      <c r="BE18" s="195"/>
      <c r="BF18" s="195"/>
      <c r="BG18" s="195"/>
      <c r="BH18" s="195"/>
      <c r="BI18" s="195"/>
      <c r="BJ18" s="195"/>
      <c r="BK18" s="195"/>
      <c r="BL18" s="195"/>
      <c r="BM18" s="195"/>
      <c r="BN18" s="195"/>
      <c r="BO18" s="195"/>
      <c r="BP18" s="195"/>
      <c r="BQ18" s="195"/>
      <c r="BR18" s="195"/>
      <c r="BS18" s="195"/>
      <c r="BT18" s="195"/>
      <c r="BU18" s="195"/>
      <c r="BV18" s="195"/>
      <c r="BW18" s="195"/>
      <c r="BX18" s="195"/>
      <c r="BY18" s="195"/>
    </row>
    <row r="19" spans="1:77" s="198" customFormat="1" ht="15" customHeight="1" x14ac:dyDescent="0.2">
      <c r="A19" s="195">
        <v>8</v>
      </c>
      <c r="B19" s="195"/>
      <c r="C19" s="247" t="str">
        <f>IFERROR(VLOOKUP(B19,Resource!$A$1:$I$200,2,FALSE),"")</f>
        <v/>
      </c>
      <c r="D19" s="247" t="str">
        <f>IFERROR(VLOOKUP(B19,Resource!$A$1:$I$200,7,FALSE),"")</f>
        <v/>
      </c>
      <c r="E19" s="247" t="str">
        <f>IFERROR(VLOOKUP(B19,Resource!$A$1:$I$200,8,FALSE),"")</f>
        <v/>
      </c>
      <c r="F19" s="247" t="str">
        <f>IFERROR(VLOOKUP(B19,Resource!$A$1:$I$200,9,FALSE),"")</f>
        <v/>
      </c>
      <c r="G19" s="195" t="s">
        <v>488</v>
      </c>
      <c r="H19" s="205" t="str">
        <f t="shared" si="0"/>
        <v>No match</v>
      </c>
      <c r="I19" s="247"/>
      <c r="J19" s="206"/>
      <c r="K19" s="195"/>
      <c r="L19" s="195"/>
      <c r="M19" s="195"/>
      <c r="N19" s="195"/>
      <c r="O19" s="222"/>
      <c r="P19" s="226">
        <f t="shared" si="1"/>
        <v>0</v>
      </c>
      <c r="Q19" s="227">
        <f t="shared" si="2"/>
        <v>0</v>
      </c>
      <c r="R19" s="223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5"/>
      <c r="BB19" s="195"/>
      <c r="BC19" s="195"/>
      <c r="BD19" s="195"/>
      <c r="BE19" s="195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5"/>
      <c r="BV19" s="195"/>
      <c r="BW19" s="195"/>
      <c r="BX19" s="195"/>
      <c r="BY19" s="195"/>
    </row>
    <row r="20" spans="1:77" s="198" customFormat="1" ht="15" customHeight="1" x14ac:dyDescent="0.2">
      <c r="A20" s="195">
        <v>9</v>
      </c>
      <c r="B20" s="195"/>
      <c r="C20" s="247" t="str">
        <f>IFERROR(VLOOKUP(B20,Resource!$A$1:$I$200,2,FALSE),"")</f>
        <v/>
      </c>
      <c r="D20" s="247" t="str">
        <f>IFERROR(VLOOKUP(B20,Resource!$A$1:$I$200,7,FALSE),"")</f>
        <v/>
      </c>
      <c r="E20" s="247" t="str">
        <f>IFERROR(VLOOKUP(B20,Resource!$A$1:$I$200,8,FALSE),"")</f>
        <v/>
      </c>
      <c r="F20" s="247" t="str">
        <f>IFERROR(VLOOKUP(B20,Resource!$A$1:$I$200,9,FALSE),"")</f>
        <v/>
      </c>
      <c r="G20" s="195" t="s">
        <v>488</v>
      </c>
      <c r="H20" s="205" t="str">
        <f t="shared" si="0"/>
        <v>No match</v>
      </c>
      <c r="I20" s="247"/>
      <c r="J20" s="206"/>
      <c r="K20" s="195"/>
      <c r="L20" s="195"/>
      <c r="M20" s="195"/>
      <c r="N20" s="195"/>
      <c r="O20" s="222"/>
      <c r="P20" s="226">
        <f t="shared" si="1"/>
        <v>0</v>
      </c>
      <c r="Q20" s="227">
        <f t="shared" si="2"/>
        <v>0</v>
      </c>
      <c r="R20" s="223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  <c r="BG20" s="195"/>
      <c r="BH20" s="195"/>
      <c r="BI20" s="195"/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5"/>
      <c r="BX20" s="195"/>
      <c r="BY20" s="195"/>
    </row>
    <row r="21" spans="1:77" s="198" customFormat="1" ht="15" customHeight="1" x14ac:dyDescent="0.2">
      <c r="A21" s="195">
        <v>10</v>
      </c>
      <c r="B21" s="195"/>
      <c r="C21" s="247" t="str">
        <f>IFERROR(VLOOKUP(B21,Resource!$A$1:$I$200,2,FALSE),"")</f>
        <v/>
      </c>
      <c r="D21" s="247" t="str">
        <f>IFERROR(VLOOKUP(B21,Resource!$A$1:$I$200,7,FALSE),"")</f>
        <v/>
      </c>
      <c r="E21" s="247" t="str">
        <f>IFERROR(VLOOKUP(B21,Resource!$A$1:$I$200,8,FALSE),"")</f>
        <v/>
      </c>
      <c r="F21" s="247" t="str">
        <f>IFERROR(VLOOKUP(B21,Resource!$A$1:$I$200,9,FALSE),"")</f>
        <v/>
      </c>
      <c r="G21" s="195" t="s">
        <v>488</v>
      </c>
      <c r="H21" s="205" t="str">
        <f t="shared" si="0"/>
        <v>No match</v>
      </c>
      <c r="I21" s="247"/>
      <c r="J21" s="206"/>
      <c r="K21" s="195"/>
      <c r="L21" s="195"/>
      <c r="M21" s="195"/>
      <c r="N21" s="195"/>
      <c r="O21" s="222"/>
      <c r="P21" s="226">
        <f t="shared" si="1"/>
        <v>0</v>
      </c>
      <c r="Q21" s="227">
        <f t="shared" si="2"/>
        <v>0</v>
      </c>
      <c r="R21" s="223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  <c r="BD21" s="195"/>
      <c r="BE21" s="195"/>
      <c r="BF21" s="195"/>
      <c r="BG21" s="195"/>
      <c r="BH21" s="195"/>
      <c r="BI21" s="195"/>
      <c r="BJ21" s="195"/>
      <c r="BK21" s="195"/>
      <c r="BL21" s="195"/>
      <c r="BM21" s="195"/>
      <c r="BN21" s="195"/>
      <c r="BO21" s="195"/>
      <c r="BP21" s="195"/>
      <c r="BQ21" s="195"/>
      <c r="BR21" s="195"/>
      <c r="BS21" s="195"/>
      <c r="BT21" s="195"/>
      <c r="BU21" s="195"/>
      <c r="BV21" s="195"/>
      <c r="BW21" s="195"/>
      <c r="BX21" s="195"/>
      <c r="BY21" s="195"/>
    </row>
    <row r="22" spans="1:77" s="198" customFormat="1" ht="15" customHeight="1" x14ac:dyDescent="0.2">
      <c r="A22" s="195">
        <v>11</v>
      </c>
      <c r="B22" s="195"/>
      <c r="C22" s="247" t="str">
        <f>IFERROR(VLOOKUP(B22,Resource!$A$1:$I$200,2,FALSE),"")</f>
        <v/>
      </c>
      <c r="D22" s="247" t="str">
        <f>IFERROR(VLOOKUP(B22,Resource!$A$1:$I$200,7,FALSE),"")</f>
        <v/>
      </c>
      <c r="E22" s="247" t="str">
        <f>IFERROR(VLOOKUP(B22,Resource!$A$1:$I$200,8,FALSE),"")</f>
        <v/>
      </c>
      <c r="F22" s="247" t="str">
        <f>IFERROR(VLOOKUP(B22,Resource!$A$1:$I$200,9,FALSE),"")</f>
        <v/>
      </c>
      <c r="G22" s="195" t="s">
        <v>488</v>
      </c>
      <c r="H22" s="205" t="str">
        <f t="shared" si="0"/>
        <v>No match</v>
      </c>
      <c r="I22" s="247"/>
      <c r="J22" s="206"/>
      <c r="K22" s="195"/>
      <c r="L22" s="195"/>
      <c r="M22" s="195"/>
      <c r="N22" s="195"/>
      <c r="O22" s="222"/>
      <c r="P22" s="226">
        <f t="shared" si="1"/>
        <v>0</v>
      </c>
      <c r="Q22" s="227">
        <f t="shared" si="2"/>
        <v>0</v>
      </c>
      <c r="R22" s="223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5"/>
      <c r="BB22" s="195"/>
      <c r="BC22" s="195"/>
      <c r="BD22" s="195"/>
      <c r="BE22" s="195"/>
      <c r="BF22" s="195"/>
      <c r="BG22" s="195"/>
      <c r="BH22" s="195"/>
      <c r="BI22" s="195"/>
      <c r="BJ22" s="195"/>
      <c r="BK22" s="195"/>
      <c r="BL22" s="195"/>
      <c r="BM22" s="195"/>
      <c r="BN22" s="195"/>
      <c r="BO22" s="195"/>
      <c r="BP22" s="195"/>
      <c r="BQ22" s="195"/>
      <c r="BR22" s="195"/>
      <c r="BS22" s="195"/>
      <c r="BT22" s="195"/>
      <c r="BU22" s="195"/>
      <c r="BV22" s="195"/>
      <c r="BW22" s="195"/>
      <c r="BX22" s="195"/>
      <c r="BY22" s="195"/>
    </row>
    <row r="23" spans="1:77" s="198" customFormat="1" ht="15" customHeight="1" x14ac:dyDescent="0.2">
      <c r="A23" s="195">
        <v>12</v>
      </c>
      <c r="B23" s="195"/>
      <c r="C23" s="247" t="str">
        <f>IFERROR(VLOOKUP(B23,Resource!$A$1:$I$200,2,FALSE),"")</f>
        <v/>
      </c>
      <c r="D23" s="247" t="str">
        <f>IFERROR(VLOOKUP(B23,Resource!$A$1:$I$200,7,FALSE),"")</f>
        <v/>
      </c>
      <c r="E23" s="247" t="str">
        <f>IFERROR(VLOOKUP(B23,Resource!$A$1:$I$200,8,FALSE),"")</f>
        <v/>
      </c>
      <c r="F23" s="247" t="str">
        <f>IFERROR(VLOOKUP(B23,Resource!$A$1:$I$200,9,FALSE),"")</f>
        <v/>
      </c>
      <c r="G23" s="195" t="s">
        <v>488</v>
      </c>
      <c r="H23" s="205" t="str">
        <f t="shared" si="0"/>
        <v>No match</v>
      </c>
      <c r="I23" s="247"/>
      <c r="J23" s="206"/>
      <c r="K23" s="195"/>
      <c r="L23" s="195"/>
      <c r="M23" s="195"/>
      <c r="N23" s="195"/>
      <c r="O23" s="222"/>
      <c r="P23" s="226">
        <f t="shared" si="1"/>
        <v>0</v>
      </c>
      <c r="Q23" s="227">
        <f t="shared" si="2"/>
        <v>0</v>
      </c>
      <c r="R23" s="223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5"/>
      <c r="BB23" s="195"/>
      <c r="BC23" s="195"/>
      <c r="BD23" s="195"/>
      <c r="BE23" s="195"/>
      <c r="BF23" s="195"/>
      <c r="BG23" s="195"/>
      <c r="BH23" s="195"/>
      <c r="BI23" s="195"/>
      <c r="BJ23" s="195"/>
      <c r="BK23" s="195"/>
      <c r="BL23" s="195"/>
      <c r="BM23" s="195"/>
      <c r="BN23" s="195"/>
      <c r="BO23" s="195"/>
      <c r="BP23" s="195"/>
      <c r="BQ23" s="195"/>
      <c r="BR23" s="195"/>
      <c r="BS23" s="195"/>
      <c r="BT23" s="195"/>
      <c r="BU23" s="195"/>
      <c r="BV23" s="195"/>
      <c r="BW23" s="195"/>
      <c r="BX23" s="195"/>
      <c r="BY23" s="195"/>
    </row>
    <row r="24" spans="1:77" s="198" customFormat="1" ht="15" customHeight="1" x14ac:dyDescent="0.2">
      <c r="A24" s="195">
        <v>13</v>
      </c>
      <c r="B24" s="195"/>
      <c r="C24" s="247" t="str">
        <f>IFERROR(VLOOKUP(B24,Resource!$A$1:$I$200,2,FALSE),"")</f>
        <v/>
      </c>
      <c r="D24" s="247" t="str">
        <f>IFERROR(VLOOKUP(B24,Resource!$A$1:$I$200,7,FALSE),"")</f>
        <v/>
      </c>
      <c r="E24" s="247" t="str">
        <f>IFERROR(VLOOKUP(B24,Resource!$A$1:$I$200,8,FALSE),"")</f>
        <v/>
      </c>
      <c r="F24" s="247" t="str">
        <f>IFERROR(VLOOKUP(B24,Resource!$A$1:$I$200,9,FALSE),"")</f>
        <v/>
      </c>
      <c r="G24" s="195" t="s">
        <v>488</v>
      </c>
      <c r="H24" s="205" t="str">
        <f t="shared" si="0"/>
        <v>No match</v>
      </c>
      <c r="I24" s="247"/>
      <c r="J24" s="206"/>
      <c r="K24" s="195"/>
      <c r="L24" s="195"/>
      <c r="M24" s="195"/>
      <c r="N24" s="195"/>
      <c r="O24" s="222"/>
      <c r="P24" s="226">
        <f t="shared" si="1"/>
        <v>0</v>
      </c>
      <c r="Q24" s="227">
        <f t="shared" si="2"/>
        <v>0</v>
      </c>
      <c r="R24" s="223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5"/>
      <c r="BB24" s="195"/>
      <c r="BC24" s="195"/>
      <c r="BD24" s="195"/>
      <c r="BE24" s="195"/>
      <c r="BF24" s="195"/>
      <c r="BG24" s="195"/>
      <c r="BH24" s="195"/>
      <c r="BI24" s="195"/>
      <c r="BJ24" s="195"/>
      <c r="BK24" s="195"/>
      <c r="BL24" s="195"/>
      <c r="BM24" s="195"/>
      <c r="BN24" s="195"/>
      <c r="BO24" s="195"/>
      <c r="BP24" s="195"/>
      <c r="BQ24" s="195"/>
      <c r="BR24" s="195"/>
      <c r="BS24" s="195"/>
      <c r="BT24" s="195"/>
      <c r="BU24" s="195"/>
      <c r="BV24" s="195"/>
      <c r="BW24" s="195"/>
      <c r="BX24" s="195"/>
      <c r="BY24" s="195"/>
    </row>
    <row r="25" spans="1:77" s="198" customFormat="1" ht="15" customHeight="1" x14ac:dyDescent="0.2">
      <c r="A25" s="195">
        <v>14</v>
      </c>
      <c r="B25" s="195"/>
      <c r="C25" s="247" t="str">
        <f>IFERROR(VLOOKUP(B25,Resource!$A$1:$I$200,2,FALSE),"")</f>
        <v/>
      </c>
      <c r="D25" s="247" t="str">
        <f>IFERROR(VLOOKUP(B25,Resource!$A$1:$I$200,7,FALSE),"")</f>
        <v/>
      </c>
      <c r="E25" s="247" t="str">
        <f>IFERROR(VLOOKUP(B25,Resource!$A$1:$I$200,8,FALSE),"")</f>
        <v/>
      </c>
      <c r="F25" s="247" t="str">
        <f>IFERROR(VLOOKUP(B25,Resource!$A$1:$I$200,9,FALSE),"")</f>
        <v/>
      </c>
      <c r="G25" s="195" t="s">
        <v>488</v>
      </c>
      <c r="H25" s="205" t="str">
        <f t="shared" si="0"/>
        <v>No match</v>
      </c>
      <c r="I25" s="247"/>
      <c r="J25" s="206"/>
      <c r="K25" s="195"/>
      <c r="L25" s="195"/>
      <c r="M25" s="195"/>
      <c r="N25" s="195"/>
      <c r="O25" s="222"/>
      <c r="P25" s="226">
        <f t="shared" si="1"/>
        <v>0</v>
      </c>
      <c r="Q25" s="227">
        <f t="shared" si="2"/>
        <v>0</v>
      </c>
      <c r="R25" s="223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  <c r="AH25" s="195"/>
      <c r="AI25" s="195"/>
      <c r="AJ25" s="195"/>
      <c r="AK25" s="195"/>
      <c r="AL25" s="195"/>
      <c r="AM25" s="195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5"/>
      <c r="BB25" s="195"/>
      <c r="BC25" s="195"/>
      <c r="BD25" s="195"/>
      <c r="BE25" s="195"/>
      <c r="BF25" s="195"/>
      <c r="BG25" s="195"/>
      <c r="BH25" s="195"/>
      <c r="BI25" s="195"/>
      <c r="BJ25" s="195"/>
      <c r="BK25" s="195"/>
      <c r="BL25" s="195"/>
      <c r="BM25" s="195"/>
      <c r="BN25" s="195"/>
      <c r="BO25" s="195"/>
      <c r="BP25" s="195"/>
      <c r="BQ25" s="195"/>
      <c r="BR25" s="195"/>
      <c r="BS25" s="195"/>
      <c r="BT25" s="195"/>
      <c r="BU25" s="195"/>
      <c r="BV25" s="195"/>
      <c r="BW25" s="195"/>
      <c r="BX25" s="195"/>
      <c r="BY25" s="195"/>
    </row>
    <row r="26" spans="1:77" s="198" customFormat="1" ht="15" customHeight="1" x14ac:dyDescent="0.2">
      <c r="A26" s="195">
        <v>15</v>
      </c>
      <c r="B26" s="195"/>
      <c r="C26" s="247" t="str">
        <f>IFERROR(VLOOKUP(B26,Resource!$A$1:$I$200,2,FALSE),"")</f>
        <v/>
      </c>
      <c r="D26" s="247" t="str">
        <f>IFERROR(VLOOKUP(B26,Resource!$A$1:$I$200,7,FALSE),"")</f>
        <v/>
      </c>
      <c r="E26" s="247" t="str">
        <f>IFERROR(VLOOKUP(B26,Resource!$A$1:$I$200,8,FALSE),"")</f>
        <v/>
      </c>
      <c r="F26" s="247" t="str">
        <f>IFERROR(VLOOKUP(B26,Resource!$A$1:$I$200,9,FALSE),"")</f>
        <v/>
      </c>
      <c r="G26" s="195" t="s">
        <v>488</v>
      </c>
      <c r="H26" s="205" t="str">
        <f t="shared" si="0"/>
        <v>No match</v>
      </c>
      <c r="I26" s="247"/>
      <c r="J26" s="206"/>
      <c r="K26" s="195"/>
      <c r="L26" s="195"/>
      <c r="M26" s="195"/>
      <c r="N26" s="195"/>
      <c r="O26" s="222"/>
      <c r="P26" s="226">
        <f t="shared" si="1"/>
        <v>0</v>
      </c>
      <c r="Q26" s="227">
        <f t="shared" si="2"/>
        <v>0</v>
      </c>
      <c r="R26" s="223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5"/>
      <c r="AK26" s="195"/>
      <c r="AL26" s="195"/>
      <c r="AM26" s="195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5"/>
      <c r="BB26" s="195"/>
      <c r="BC26" s="195"/>
      <c r="BD26" s="195"/>
      <c r="BE26" s="195"/>
      <c r="BF26" s="195"/>
      <c r="BG26" s="195"/>
      <c r="BH26" s="195"/>
      <c r="BI26" s="195"/>
      <c r="BJ26" s="195"/>
      <c r="BK26" s="195"/>
      <c r="BL26" s="195"/>
      <c r="BM26" s="195"/>
      <c r="BN26" s="195"/>
      <c r="BO26" s="195"/>
      <c r="BP26" s="195"/>
      <c r="BQ26" s="195"/>
      <c r="BR26" s="195"/>
      <c r="BS26" s="195"/>
      <c r="BT26" s="195"/>
      <c r="BU26" s="195"/>
      <c r="BV26" s="195"/>
      <c r="BW26" s="195"/>
      <c r="BX26" s="195"/>
      <c r="BY26" s="195"/>
    </row>
    <row r="27" spans="1:77" s="198" customFormat="1" ht="15" customHeight="1" x14ac:dyDescent="0.2">
      <c r="A27" s="195">
        <v>16</v>
      </c>
      <c r="B27" s="195"/>
      <c r="C27" s="247" t="str">
        <f>IFERROR(VLOOKUP(B27,Resource!$A$1:$I$200,2,FALSE),"")</f>
        <v/>
      </c>
      <c r="D27" s="247" t="str">
        <f>IFERROR(VLOOKUP(B27,Resource!$A$1:$I$200,7,FALSE),"")</f>
        <v/>
      </c>
      <c r="E27" s="247" t="str">
        <f>IFERROR(VLOOKUP(B27,Resource!$A$1:$I$200,8,FALSE),"")</f>
        <v/>
      </c>
      <c r="F27" s="247" t="str">
        <f>IFERROR(VLOOKUP(B27,Resource!$A$1:$I$200,9,FALSE),"")</f>
        <v/>
      </c>
      <c r="G27" s="195" t="s">
        <v>488</v>
      </c>
      <c r="H27" s="205" t="str">
        <f t="shared" si="0"/>
        <v>No match</v>
      </c>
      <c r="I27" s="247"/>
      <c r="J27" s="206"/>
      <c r="K27" s="195"/>
      <c r="L27" s="195"/>
      <c r="M27" s="195"/>
      <c r="N27" s="195"/>
      <c r="O27" s="222"/>
      <c r="P27" s="226">
        <f t="shared" si="1"/>
        <v>0</v>
      </c>
      <c r="Q27" s="227">
        <f t="shared" si="2"/>
        <v>0</v>
      </c>
      <c r="R27" s="223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5"/>
      <c r="BB27" s="195"/>
      <c r="BC27" s="195"/>
      <c r="BD27" s="195"/>
      <c r="BE27" s="195"/>
      <c r="BF27" s="195"/>
      <c r="BG27" s="195"/>
      <c r="BH27" s="195"/>
      <c r="BI27" s="195"/>
      <c r="BJ27" s="195"/>
      <c r="BK27" s="195"/>
      <c r="BL27" s="195"/>
      <c r="BM27" s="195"/>
      <c r="BN27" s="195"/>
      <c r="BO27" s="195"/>
      <c r="BP27" s="195"/>
      <c r="BQ27" s="195"/>
      <c r="BR27" s="195"/>
      <c r="BS27" s="195"/>
      <c r="BT27" s="195"/>
      <c r="BU27" s="195"/>
      <c r="BV27" s="195"/>
      <c r="BW27" s="195"/>
      <c r="BX27" s="195"/>
      <c r="BY27" s="195"/>
    </row>
    <row r="28" spans="1:77" s="198" customFormat="1" ht="15" customHeight="1" x14ac:dyDescent="0.2">
      <c r="A28" s="195">
        <v>17</v>
      </c>
      <c r="B28" s="195"/>
      <c r="C28" s="247" t="str">
        <f>IFERROR(VLOOKUP(B28,Resource!$A$1:$I$200,2,FALSE),"")</f>
        <v/>
      </c>
      <c r="D28" s="247" t="str">
        <f>IFERROR(VLOOKUP(B28,Resource!$A$1:$I$200,7,FALSE),"")</f>
        <v/>
      </c>
      <c r="E28" s="247" t="str">
        <f>IFERROR(VLOOKUP(B28,Resource!$A$1:$I$200,8,FALSE),"")</f>
        <v/>
      </c>
      <c r="F28" s="247" t="str">
        <f>IFERROR(VLOOKUP(B28,Resource!$A$1:$I$200,9,FALSE),"")</f>
        <v/>
      </c>
      <c r="G28" s="195" t="s">
        <v>488</v>
      </c>
      <c r="H28" s="205" t="str">
        <f t="shared" si="0"/>
        <v>No match</v>
      </c>
      <c r="I28" s="247"/>
      <c r="J28" s="206"/>
      <c r="K28" s="195"/>
      <c r="L28" s="195"/>
      <c r="M28" s="195"/>
      <c r="N28" s="195"/>
      <c r="O28" s="222"/>
      <c r="P28" s="226">
        <f t="shared" si="1"/>
        <v>0</v>
      </c>
      <c r="Q28" s="227">
        <f t="shared" si="2"/>
        <v>0</v>
      </c>
      <c r="R28" s="223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  <c r="AD28" s="195"/>
      <c r="AE28" s="195"/>
      <c r="AF28" s="195"/>
      <c r="AG28" s="195"/>
      <c r="AH28" s="195"/>
      <c r="AI28" s="195"/>
      <c r="AJ28" s="195"/>
      <c r="AK28" s="195"/>
      <c r="AL28" s="195"/>
      <c r="AM28" s="195"/>
      <c r="AN28" s="195"/>
      <c r="AO28" s="195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BA28" s="195"/>
      <c r="BB28" s="195"/>
      <c r="BC28" s="195"/>
      <c r="BD28" s="195"/>
      <c r="BE28" s="195"/>
      <c r="BF28" s="195"/>
      <c r="BG28" s="195"/>
      <c r="BH28" s="195"/>
      <c r="BI28" s="195"/>
      <c r="BJ28" s="195"/>
      <c r="BK28" s="195"/>
      <c r="BL28" s="195"/>
      <c r="BM28" s="195"/>
      <c r="BN28" s="195"/>
      <c r="BO28" s="195"/>
      <c r="BP28" s="195"/>
      <c r="BQ28" s="195"/>
      <c r="BR28" s="195"/>
      <c r="BS28" s="195"/>
      <c r="BT28" s="195"/>
      <c r="BU28" s="195"/>
      <c r="BV28" s="195"/>
      <c r="BW28" s="195"/>
      <c r="BX28" s="195"/>
      <c r="BY28" s="195"/>
    </row>
    <row r="29" spans="1:77" s="198" customFormat="1" ht="15" customHeight="1" x14ac:dyDescent="0.2">
      <c r="A29" s="195">
        <v>18</v>
      </c>
      <c r="B29" s="195"/>
      <c r="C29" s="247" t="str">
        <f>IFERROR(VLOOKUP(B29,Resource!$A$1:$I$200,2,FALSE),"")</f>
        <v/>
      </c>
      <c r="D29" s="247" t="str">
        <f>IFERROR(VLOOKUP(B29,Resource!$A$1:$I$200,7,FALSE),"")</f>
        <v/>
      </c>
      <c r="E29" s="247" t="str">
        <f>IFERROR(VLOOKUP(B29,Resource!$A$1:$I$200,8,FALSE),"")</f>
        <v/>
      </c>
      <c r="F29" s="247" t="str">
        <f>IFERROR(VLOOKUP(B29,Resource!$A$1:$I$200,9,FALSE),"")</f>
        <v/>
      </c>
      <c r="G29" s="195" t="s">
        <v>488</v>
      </c>
      <c r="H29" s="205" t="str">
        <f t="shared" si="0"/>
        <v>No match</v>
      </c>
      <c r="I29" s="247"/>
      <c r="J29" s="206"/>
      <c r="K29" s="195"/>
      <c r="L29" s="195"/>
      <c r="M29" s="195"/>
      <c r="N29" s="195"/>
      <c r="O29" s="222"/>
      <c r="P29" s="226">
        <f t="shared" si="1"/>
        <v>0</v>
      </c>
      <c r="Q29" s="227">
        <f t="shared" si="2"/>
        <v>0</v>
      </c>
      <c r="R29" s="223"/>
      <c r="S29" s="195"/>
      <c r="T29" s="195"/>
      <c r="U29" s="195"/>
      <c r="V29" s="195"/>
      <c r="W29" s="195"/>
      <c r="X29" s="195"/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195"/>
      <c r="AK29" s="195"/>
      <c r="AL29" s="195"/>
      <c r="AM29" s="195"/>
      <c r="AN29" s="195"/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5"/>
      <c r="BB29" s="195"/>
      <c r="BC29" s="195"/>
      <c r="BD29" s="195"/>
      <c r="BE29" s="195"/>
      <c r="BF29" s="195"/>
      <c r="BG29" s="195"/>
      <c r="BH29" s="195"/>
      <c r="BI29" s="195"/>
      <c r="BJ29" s="195"/>
      <c r="BK29" s="195"/>
      <c r="BL29" s="195"/>
      <c r="BM29" s="195"/>
      <c r="BN29" s="195"/>
      <c r="BO29" s="195"/>
      <c r="BP29" s="195"/>
      <c r="BQ29" s="195"/>
      <c r="BR29" s="195"/>
      <c r="BS29" s="195"/>
      <c r="BT29" s="195"/>
      <c r="BU29" s="195"/>
      <c r="BV29" s="195"/>
      <c r="BW29" s="195"/>
      <c r="BX29" s="195"/>
      <c r="BY29" s="195"/>
    </row>
    <row r="30" spans="1:77" s="198" customFormat="1" ht="15" customHeight="1" x14ac:dyDescent="0.2">
      <c r="A30" s="195">
        <v>19</v>
      </c>
      <c r="B30" s="195"/>
      <c r="C30" s="247" t="str">
        <f>IFERROR(VLOOKUP(B30,Resource!$A$1:$I$200,2,FALSE),"")</f>
        <v/>
      </c>
      <c r="D30" s="247" t="str">
        <f>IFERROR(VLOOKUP(B30,Resource!$A$1:$I$200,7,FALSE),"")</f>
        <v/>
      </c>
      <c r="E30" s="247" t="str">
        <f>IFERROR(VLOOKUP(B30,Resource!$A$1:$I$200,8,FALSE),"")</f>
        <v/>
      </c>
      <c r="F30" s="247" t="str">
        <f>IFERROR(VLOOKUP(B30,Resource!$A$1:$I$200,9,FALSE),"")</f>
        <v/>
      </c>
      <c r="G30" s="195" t="s">
        <v>488</v>
      </c>
      <c r="H30" s="205" t="str">
        <f t="shared" si="0"/>
        <v>No match</v>
      </c>
      <c r="I30" s="247"/>
      <c r="J30" s="206"/>
      <c r="K30" s="195"/>
      <c r="L30" s="195"/>
      <c r="M30" s="195"/>
      <c r="N30" s="195"/>
      <c r="O30" s="222"/>
      <c r="P30" s="226">
        <f t="shared" si="1"/>
        <v>0</v>
      </c>
      <c r="Q30" s="227">
        <f t="shared" si="2"/>
        <v>0</v>
      </c>
      <c r="R30" s="223"/>
      <c r="S30" s="195"/>
      <c r="T30" s="195"/>
      <c r="U30" s="195"/>
      <c r="V30" s="195"/>
      <c r="W30" s="195"/>
      <c r="X30" s="195"/>
      <c r="Y30" s="195"/>
      <c r="Z30" s="195"/>
      <c r="AA30" s="195"/>
      <c r="AB30" s="195"/>
      <c r="AC30" s="195"/>
      <c r="AD30" s="195"/>
      <c r="AE30" s="195"/>
      <c r="AF30" s="195"/>
      <c r="AG30" s="195"/>
      <c r="AH30" s="195"/>
      <c r="AI30" s="195"/>
      <c r="AJ30" s="195"/>
      <c r="AK30" s="195"/>
      <c r="AL30" s="195"/>
      <c r="AM30" s="195"/>
      <c r="AN30" s="195"/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5"/>
      <c r="BB30" s="195"/>
      <c r="BC30" s="195"/>
      <c r="BD30" s="195"/>
      <c r="BE30" s="195"/>
      <c r="BF30" s="195"/>
      <c r="BG30" s="195"/>
      <c r="BH30" s="195"/>
      <c r="BI30" s="195"/>
      <c r="BJ30" s="195"/>
      <c r="BK30" s="195"/>
      <c r="BL30" s="195"/>
      <c r="BM30" s="195"/>
      <c r="BN30" s="195"/>
      <c r="BO30" s="195"/>
      <c r="BP30" s="195"/>
      <c r="BQ30" s="195"/>
      <c r="BR30" s="195"/>
      <c r="BS30" s="195"/>
      <c r="BT30" s="195"/>
      <c r="BU30" s="195"/>
      <c r="BV30" s="195"/>
      <c r="BW30" s="195"/>
      <c r="BX30" s="195"/>
      <c r="BY30" s="195"/>
    </row>
    <row r="31" spans="1:77" s="198" customFormat="1" ht="15" customHeight="1" x14ac:dyDescent="0.2">
      <c r="A31" s="195">
        <v>20</v>
      </c>
      <c r="B31" s="195"/>
      <c r="C31" s="247" t="str">
        <f>IFERROR(VLOOKUP(B31,Resource!$A$1:$I$200,2,FALSE),"")</f>
        <v/>
      </c>
      <c r="D31" s="247" t="str">
        <f>IFERROR(VLOOKUP(B31,Resource!$A$1:$I$200,7,FALSE),"")</f>
        <v/>
      </c>
      <c r="E31" s="247" t="str">
        <f>IFERROR(VLOOKUP(B31,Resource!$A$1:$I$200,8,FALSE),"")</f>
        <v/>
      </c>
      <c r="F31" s="247" t="str">
        <f>IFERROR(VLOOKUP(B31,Resource!$A$1:$I$200,9,FALSE),"")</f>
        <v/>
      </c>
      <c r="G31" s="195" t="s">
        <v>488</v>
      </c>
      <c r="H31" s="205" t="str">
        <f t="shared" si="0"/>
        <v>No match</v>
      </c>
      <c r="I31" s="247"/>
      <c r="J31" s="206"/>
      <c r="K31" s="195"/>
      <c r="L31" s="195"/>
      <c r="M31" s="195"/>
      <c r="N31" s="195"/>
      <c r="O31" s="222"/>
      <c r="P31" s="226">
        <f t="shared" si="1"/>
        <v>0</v>
      </c>
      <c r="Q31" s="227">
        <f t="shared" si="2"/>
        <v>0</v>
      </c>
      <c r="R31" s="223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5"/>
      <c r="AK31" s="195"/>
      <c r="AL31" s="195"/>
      <c r="AM31" s="195"/>
      <c r="AN31" s="195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  <c r="BD31" s="195"/>
      <c r="BE31" s="195"/>
      <c r="BF31" s="195"/>
      <c r="BG31" s="195"/>
      <c r="BH31" s="195"/>
      <c r="BI31" s="195"/>
      <c r="BJ31" s="195"/>
      <c r="BK31" s="195"/>
      <c r="BL31" s="195"/>
      <c r="BM31" s="195"/>
      <c r="BN31" s="195"/>
      <c r="BO31" s="195"/>
      <c r="BP31" s="195"/>
      <c r="BQ31" s="195"/>
      <c r="BR31" s="195"/>
      <c r="BS31" s="195"/>
      <c r="BT31" s="195"/>
      <c r="BU31" s="195"/>
      <c r="BV31" s="195"/>
      <c r="BW31" s="195"/>
      <c r="BX31" s="195"/>
      <c r="BY31" s="195"/>
    </row>
    <row r="32" spans="1:77" s="198" customFormat="1" ht="15" customHeight="1" x14ac:dyDescent="0.2">
      <c r="A32" s="195">
        <v>21</v>
      </c>
      <c r="B32" s="195"/>
      <c r="C32" s="247" t="str">
        <f>IFERROR(VLOOKUP(B32,Resource!$A$1:$I$200,2,FALSE),"")</f>
        <v/>
      </c>
      <c r="D32" s="247" t="str">
        <f>IFERROR(VLOOKUP(B32,Resource!$A$1:$I$200,7,FALSE),"")</f>
        <v/>
      </c>
      <c r="E32" s="247" t="str">
        <f>IFERROR(VLOOKUP(B32,Resource!$A$1:$I$200,8,FALSE),"")</f>
        <v/>
      </c>
      <c r="F32" s="247" t="str">
        <f>IFERROR(VLOOKUP(B32,Resource!$A$1:$I$200,9,FALSE),"")</f>
        <v/>
      </c>
      <c r="G32" s="195" t="s">
        <v>488</v>
      </c>
      <c r="H32" s="205" t="str">
        <f t="shared" si="0"/>
        <v>No match</v>
      </c>
      <c r="I32" s="247"/>
      <c r="J32" s="206"/>
      <c r="K32" s="195"/>
      <c r="L32" s="195"/>
      <c r="M32" s="195"/>
      <c r="N32" s="195"/>
      <c r="O32" s="222"/>
      <c r="P32" s="226">
        <f t="shared" si="1"/>
        <v>0</v>
      </c>
      <c r="Q32" s="227">
        <f t="shared" si="2"/>
        <v>0</v>
      </c>
      <c r="R32" s="223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5"/>
      <c r="AK32" s="195"/>
      <c r="AL32" s="195"/>
      <c r="AM32" s="195"/>
      <c r="AN32" s="195"/>
      <c r="AO32" s="195"/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5"/>
      <c r="BB32" s="195"/>
      <c r="BC32" s="195"/>
      <c r="BD32" s="195"/>
      <c r="BE32" s="195"/>
      <c r="BF32" s="195"/>
      <c r="BG32" s="195"/>
      <c r="BH32" s="195"/>
      <c r="BI32" s="195"/>
      <c r="BJ32" s="195"/>
      <c r="BK32" s="195"/>
      <c r="BL32" s="195"/>
      <c r="BM32" s="195"/>
      <c r="BN32" s="195"/>
      <c r="BO32" s="195"/>
      <c r="BP32" s="195"/>
      <c r="BQ32" s="195"/>
      <c r="BR32" s="195"/>
      <c r="BS32" s="195"/>
      <c r="BT32" s="195"/>
      <c r="BU32" s="195"/>
      <c r="BV32" s="195"/>
      <c r="BW32" s="195"/>
      <c r="BX32" s="195"/>
      <c r="BY32" s="195"/>
    </row>
    <row r="33" spans="1:77" s="198" customFormat="1" ht="15" customHeight="1" x14ac:dyDescent="0.2">
      <c r="A33" s="195">
        <v>22</v>
      </c>
      <c r="B33" s="195"/>
      <c r="C33" s="247" t="str">
        <f>IFERROR(VLOOKUP(B33,Resource!$A$1:$I$200,2,FALSE),"")</f>
        <v/>
      </c>
      <c r="D33" s="247" t="str">
        <f>IFERROR(VLOOKUP(B33,Resource!$A$1:$I$200,7,FALSE),"")</f>
        <v/>
      </c>
      <c r="E33" s="247" t="str">
        <f>IFERROR(VLOOKUP(B33,Resource!$A$1:$I$200,8,FALSE),"")</f>
        <v/>
      </c>
      <c r="F33" s="247" t="str">
        <f>IFERROR(VLOOKUP(B33,Resource!$A$1:$I$200,9,FALSE),"")</f>
        <v/>
      </c>
      <c r="G33" s="195" t="s">
        <v>488</v>
      </c>
      <c r="H33" s="205" t="str">
        <f t="shared" si="0"/>
        <v>No match</v>
      </c>
      <c r="I33" s="247"/>
      <c r="J33" s="206"/>
      <c r="K33" s="195"/>
      <c r="L33" s="195"/>
      <c r="M33" s="195"/>
      <c r="N33" s="195"/>
      <c r="O33" s="222"/>
      <c r="P33" s="226">
        <f t="shared" si="1"/>
        <v>0</v>
      </c>
      <c r="Q33" s="227">
        <f t="shared" si="2"/>
        <v>0</v>
      </c>
      <c r="R33" s="223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195"/>
      <c r="AK33" s="195"/>
      <c r="AL33" s="195"/>
      <c r="AM33" s="195"/>
      <c r="AN33" s="195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5"/>
      <c r="BB33" s="195"/>
      <c r="BC33" s="195"/>
      <c r="BD33" s="195"/>
      <c r="BE33" s="195"/>
      <c r="BF33" s="195"/>
      <c r="BG33" s="195"/>
      <c r="BH33" s="195"/>
      <c r="BI33" s="195"/>
      <c r="BJ33" s="195"/>
      <c r="BK33" s="195"/>
      <c r="BL33" s="195"/>
      <c r="BM33" s="195"/>
      <c r="BN33" s="195"/>
      <c r="BO33" s="195"/>
      <c r="BP33" s="195"/>
      <c r="BQ33" s="195"/>
      <c r="BR33" s="195"/>
      <c r="BS33" s="195"/>
      <c r="BT33" s="195"/>
      <c r="BU33" s="195"/>
      <c r="BV33" s="195"/>
      <c r="BW33" s="195"/>
      <c r="BX33" s="195"/>
      <c r="BY33" s="195"/>
    </row>
    <row r="34" spans="1:77" s="198" customFormat="1" ht="15" customHeight="1" x14ac:dyDescent="0.2">
      <c r="A34" s="195">
        <v>23</v>
      </c>
      <c r="B34" s="195"/>
      <c r="C34" s="247" t="str">
        <f>IFERROR(VLOOKUP(B34,Resource!$A$1:$I$200,2,FALSE),"")</f>
        <v/>
      </c>
      <c r="D34" s="247" t="str">
        <f>IFERROR(VLOOKUP(B34,Resource!$A$1:$I$200,7,FALSE),"")</f>
        <v/>
      </c>
      <c r="E34" s="247" t="str">
        <f>IFERROR(VLOOKUP(B34,Resource!$A$1:$I$200,8,FALSE),"")</f>
        <v/>
      </c>
      <c r="F34" s="247" t="str">
        <f>IFERROR(VLOOKUP(B34,Resource!$A$1:$I$200,9,FALSE),"")</f>
        <v/>
      </c>
      <c r="G34" s="195" t="s">
        <v>488</v>
      </c>
      <c r="H34" s="205" t="str">
        <f t="shared" si="0"/>
        <v>No match</v>
      </c>
      <c r="I34" s="247"/>
      <c r="J34" s="206"/>
      <c r="K34" s="195"/>
      <c r="L34" s="195"/>
      <c r="M34" s="195"/>
      <c r="N34" s="195"/>
      <c r="O34" s="222"/>
      <c r="P34" s="226">
        <f t="shared" si="1"/>
        <v>0</v>
      </c>
      <c r="Q34" s="227">
        <f t="shared" si="2"/>
        <v>0</v>
      </c>
      <c r="R34" s="223"/>
      <c r="S34" s="195"/>
      <c r="T34" s="195"/>
      <c r="U34" s="195"/>
      <c r="V34" s="195"/>
      <c r="W34" s="195"/>
      <c r="X34" s="195"/>
      <c r="Y34" s="195"/>
      <c r="Z34" s="195"/>
      <c r="AA34" s="195"/>
      <c r="AB34" s="195"/>
      <c r="AC34" s="195"/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195"/>
      <c r="AZ34" s="195"/>
      <c r="BA34" s="195"/>
      <c r="BB34" s="195"/>
      <c r="BC34" s="195"/>
      <c r="BD34" s="195"/>
      <c r="BE34" s="195"/>
      <c r="BF34" s="195"/>
      <c r="BG34" s="195"/>
      <c r="BH34" s="195"/>
      <c r="BI34" s="195"/>
      <c r="BJ34" s="195"/>
      <c r="BK34" s="195"/>
      <c r="BL34" s="195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</row>
    <row r="35" spans="1:77" s="198" customFormat="1" ht="15" customHeight="1" x14ac:dyDescent="0.2">
      <c r="A35" s="195">
        <v>24</v>
      </c>
      <c r="B35" s="195"/>
      <c r="C35" s="247" t="str">
        <f>IFERROR(VLOOKUP(B35,Resource!$A$1:$I$200,2,FALSE),"")</f>
        <v/>
      </c>
      <c r="D35" s="247" t="str">
        <f>IFERROR(VLOOKUP(B35,Resource!$A$1:$I$200,7,FALSE),"")</f>
        <v/>
      </c>
      <c r="E35" s="247" t="str">
        <f>IFERROR(VLOOKUP(B35,Resource!$A$1:$I$200,8,FALSE),"")</f>
        <v/>
      </c>
      <c r="F35" s="247" t="str">
        <f>IFERROR(VLOOKUP(B35,Resource!$A$1:$I$200,9,FALSE),"")</f>
        <v/>
      </c>
      <c r="G35" s="195" t="s">
        <v>488</v>
      </c>
      <c r="H35" s="205" t="str">
        <f t="shared" si="0"/>
        <v>No match</v>
      </c>
      <c r="I35" s="247"/>
      <c r="J35" s="206"/>
      <c r="K35" s="195"/>
      <c r="L35" s="195"/>
      <c r="M35" s="195"/>
      <c r="N35" s="195"/>
      <c r="O35" s="222"/>
      <c r="P35" s="226">
        <f t="shared" si="1"/>
        <v>0</v>
      </c>
      <c r="Q35" s="227">
        <f t="shared" si="2"/>
        <v>0</v>
      </c>
      <c r="R35" s="223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I35" s="195"/>
      <c r="BJ35" s="195"/>
      <c r="BK35" s="195"/>
      <c r="BL35" s="195"/>
      <c r="BM35" s="195"/>
      <c r="BN35" s="195"/>
      <c r="BO35" s="195"/>
      <c r="BP35" s="195"/>
      <c r="BQ35" s="195"/>
      <c r="BR35" s="195"/>
      <c r="BS35" s="195"/>
      <c r="BT35" s="195"/>
      <c r="BU35" s="195"/>
      <c r="BV35" s="195"/>
      <c r="BW35" s="195"/>
      <c r="BX35" s="195"/>
      <c r="BY35" s="195"/>
    </row>
    <row r="36" spans="1:77" s="198" customFormat="1" ht="15" customHeight="1" x14ac:dyDescent="0.2">
      <c r="A36" s="195">
        <v>25</v>
      </c>
      <c r="B36" s="195"/>
      <c r="C36" s="247" t="str">
        <f>IFERROR(VLOOKUP(B36,Resource!$A$1:$I$200,2,FALSE),"")</f>
        <v/>
      </c>
      <c r="D36" s="247" t="str">
        <f>IFERROR(VLOOKUP(B36,Resource!$A$1:$I$200,7,FALSE),"")</f>
        <v/>
      </c>
      <c r="E36" s="247" t="str">
        <f>IFERROR(VLOOKUP(B36,Resource!$A$1:$I$200,8,FALSE),"")</f>
        <v/>
      </c>
      <c r="F36" s="247" t="str">
        <f>IFERROR(VLOOKUP(B36,Resource!$A$1:$I$200,9,FALSE),"")</f>
        <v/>
      </c>
      <c r="G36" s="195" t="s">
        <v>488</v>
      </c>
      <c r="H36" s="205" t="str">
        <f t="shared" si="0"/>
        <v>No match</v>
      </c>
      <c r="I36" s="247"/>
      <c r="J36" s="206"/>
      <c r="K36" s="195"/>
      <c r="L36" s="195"/>
      <c r="M36" s="195"/>
      <c r="N36" s="195"/>
      <c r="O36" s="222"/>
      <c r="P36" s="226">
        <f t="shared" si="1"/>
        <v>0</v>
      </c>
      <c r="Q36" s="227">
        <f t="shared" si="2"/>
        <v>0</v>
      </c>
      <c r="R36" s="223"/>
      <c r="S36" s="195"/>
      <c r="T36" s="195"/>
      <c r="U36" s="195"/>
      <c r="V36" s="195"/>
      <c r="W36" s="195"/>
      <c r="X36" s="195"/>
      <c r="Y36" s="195"/>
      <c r="Z36" s="195"/>
      <c r="AA36" s="195"/>
      <c r="AB36" s="195"/>
      <c r="AC36" s="195"/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I36" s="195"/>
      <c r="BJ36" s="195"/>
      <c r="BK36" s="195"/>
      <c r="BL36" s="195"/>
      <c r="BM36" s="195"/>
      <c r="BN36" s="195"/>
      <c r="BO36" s="195"/>
      <c r="BP36" s="195"/>
      <c r="BQ36" s="195"/>
      <c r="BR36" s="195"/>
      <c r="BS36" s="195"/>
      <c r="BT36" s="195"/>
      <c r="BU36" s="195"/>
      <c r="BV36" s="195"/>
      <c r="BW36" s="195"/>
      <c r="BX36" s="195"/>
      <c r="BY36" s="195"/>
    </row>
    <row r="37" spans="1:77" s="198" customFormat="1" ht="15" customHeight="1" x14ac:dyDescent="0.2">
      <c r="A37" s="195">
        <v>26</v>
      </c>
      <c r="B37" s="195"/>
      <c r="C37" s="247" t="str">
        <f>IFERROR(VLOOKUP(B37,Resource!$A$1:$I$200,2,FALSE),"")</f>
        <v/>
      </c>
      <c r="D37" s="247" t="str">
        <f>IFERROR(VLOOKUP(B37,Resource!$A$1:$I$200,7,FALSE),"")</f>
        <v/>
      </c>
      <c r="E37" s="247" t="str">
        <f>IFERROR(VLOOKUP(B37,Resource!$A$1:$I$200,8,FALSE),"")</f>
        <v/>
      </c>
      <c r="F37" s="247" t="str">
        <f>IFERROR(VLOOKUP(B37,Resource!$A$1:$I$200,9,FALSE),"")</f>
        <v/>
      </c>
      <c r="G37" s="195" t="s">
        <v>488</v>
      </c>
      <c r="H37" s="205" t="str">
        <f t="shared" si="0"/>
        <v>No match</v>
      </c>
      <c r="I37" s="247"/>
      <c r="J37" s="206"/>
      <c r="K37" s="195"/>
      <c r="L37" s="195"/>
      <c r="M37" s="195"/>
      <c r="N37" s="195"/>
      <c r="O37" s="222"/>
      <c r="P37" s="226">
        <f t="shared" si="1"/>
        <v>0</v>
      </c>
      <c r="Q37" s="227">
        <f t="shared" si="2"/>
        <v>0</v>
      </c>
      <c r="R37" s="223"/>
      <c r="S37" s="195"/>
      <c r="T37" s="195"/>
      <c r="U37" s="195"/>
      <c r="V37" s="195"/>
      <c r="W37" s="195"/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5"/>
      <c r="BY37" s="195"/>
    </row>
    <row r="38" spans="1:77" s="198" customFormat="1" ht="15" customHeight="1" x14ac:dyDescent="0.2">
      <c r="A38" s="195">
        <v>27</v>
      </c>
      <c r="B38" s="195"/>
      <c r="C38" s="247" t="str">
        <f>IFERROR(VLOOKUP(B38,Resource!$A$1:$I$200,2,FALSE),"")</f>
        <v/>
      </c>
      <c r="D38" s="247" t="str">
        <f>IFERROR(VLOOKUP(B38,Resource!$A$1:$I$200,7,FALSE),"")</f>
        <v/>
      </c>
      <c r="E38" s="247" t="str">
        <f>IFERROR(VLOOKUP(B38,Resource!$A$1:$I$200,8,FALSE),"")</f>
        <v/>
      </c>
      <c r="F38" s="247" t="str">
        <f>IFERROR(VLOOKUP(B38,Resource!$A$1:$I$200,9,FALSE),"")</f>
        <v/>
      </c>
      <c r="G38" s="195" t="s">
        <v>488</v>
      </c>
      <c r="H38" s="205" t="str">
        <f t="shared" si="0"/>
        <v>No match</v>
      </c>
      <c r="I38" s="247"/>
      <c r="J38" s="206"/>
      <c r="K38" s="195"/>
      <c r="L38" s="195"/>
      <c r="M38" s="195"/>
      <c r="N38" s="195"/>
      <c r="O38" s="222"/>
      <c r="P38" s="226">
        <f t="shared" si="1"/>
        <v>0</v>
      </c>
      <c r="Q38" s="227">
        <f t="shared" si="2"/>
        <v>0</v>
      </c>
      <c r="R38" s="223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I38" s="195"/>
      <c r="BJ38" s="195"/>
      <c r="BK38" s="195"/>
      <c r="BL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</row>
    <row r="39" spans="1:77" s="198" customFormat="1" ht="15" customHeight="1" x14ac:dyDescent="0.2">
      <c r="A39" s="195">
        <v>28</v>
      </c>
      <c r="B39" s="195"/>
      <c r="C39" s="247" t="str">
        <f>IFERROR(VLOOKUP(B39,Resource!$A$1:$I$200,2,FALSE),"")</f>
        <v/>
      </c>
      <c r="D39" s="247" t="str">
        <f>IFERROR(VLOOKUP(B39,Resource!$A$1:$I$200,7,FALSE),"")</f>
        <v/>
      </c>
      <c r="E39" s="247" t="str">
        <f>IFERROR(VLOOKUP(B39,Resource!$A$1:$I$200,8,FALSE),"")</f>
        <v/>
      </c>
      <c r="F39" s="247" t="str">
        <f>IFERROR(VLOOKUP(B39,Resource!$A$1:$I$200,9,FALSE),"")</f>
        <v/>
      </c>
      <c r="G39" s="195" t="s">
        <v>488</v>
      </c>
      <c r="H39" s="205" t="str">
        <f t="shared" si="0"/>
        <v>No match</v>
      </c>
      <c r="I39" s="247"/>
      <c r="J39" s="206"/>
      <c r="K39" s="195"/>
      <c r="L39" s="195"/>
      <c r="M39" s="195"/>
      <c r="N39" s="195"/>
      <c r="O39" s="222"/>
      <c r="P39" s="226">
        <f t="shared" si="1"/>
        <v>0</v>
      </c>
      <c r="Q39" s="227">
        <f t="shared" si="2"/>
        <v>0</v>
      </c>
      <c r="R39" s="223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5"/>
      <c r="BK39" s="195"/>
      <c r="BL39" s="195"/>
      <c r="BM39" s="195"/>
      <c r="BN39" s="195"/>
      <c r="BO39" s="195"/>
      <c r="BP39" s="195"/>
      <c r="BQ39" s="195"/>
      <c r="BR39" s="195"/>
      <c r="BS39" s="195"/>
      <c r="BT39" s="195"/>
      <c r="BU39" s="195"/>
      <c r="BV39" s="195"/>
      <c r="BW39" s="195"/>
      <c r="BX39" s="195"/>
      <c r="BY39" s="195"/>
    </row>
    <row r="40" spans="1:77" s="198" customFormat="1" ht="15" customHeight="1" x14ac:dyDescent="0.2">
      <c r="A40" s="195">
        <v>29</v>
      </c>
      <c r="B40" s="195"/>
      <c r="C40" s="247" t="str">
        <f>IFERROR(VLOOKUP(B40,Resource!$A$1:$I$200,2,FALSE),"")</f>
        <v/>
      </c>
      <c r="D40" s="247" t="str">
        <f>IFERROR(VLOOKUP(B40,Resource!$A$1:$I$200,7,FALSE),"")</f>
        <v/>
      </c>
      <c r="E40" s="247" t="str">
        <f>IFERROR(VLOOKUP(B40,Resource!$A$1:$I$200,8,FALSE),"")</f>
        <v/>
      </c>
      <c r="F40" s="247" t="str">
        <f>IFERROR(VLOOKUP(B40,Resource!$A$1:$I$200,9,FALSE),"")</f>
        <v/>
      </c>
      <c r="G40" s="195" t="s">
        <v>488</v>
      </c>
      <c r="H40" s="205" t="str">
        <f t="shared" si="0"/>
        <v>No match</v>
      </c>
      <c r="I40" s="247"/>
      <c r="J40" s="206"/>
      <c r="K40" s="195"/>
      <c r="L40" s="195"/>
      <c r="M40" s="195"/>
      <c r="N40" s="195"/>
      <c r="O40" s="222"/>
      <c r="P40" s="226">
        <f t="shared" si="1"/>
        <v>0</v>
      </c>
      <c r="Q40" s="227">
        <f t="shared" si="2"/>
        <v>0</v>
      </c>
      <c r="R40" s="223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5"/>
      <c r="BY40" s="195"/>
    </row>
    <row r="41" spans="1:77" s="198" customFormat="1" ht="15" customHeight="1" x14ac:dyDescent="0.2">
      <c r="A41" s="195">
        <v>30</v>
      </c>
      <c r="B41" s="195"/>
      <c r="C41" s="247" t="str">
        <f>IFERROR(VLOOKUP(B41,Resource!$A$1:$I$200,2,FALSE),"")</f>
        <v/>
      </c>
      <c r="D41" s="247" t="str">
        <f>IFERROR(VLOOKUP(B41,Resource!$A$1:$I$200,7,FALSE),"")</f>
        <v/>
      </c>
      <c r="E41" s="247" t="str">
        <f>IFERROR(VLOOKUP(B41,Resource!$A$1:$I$200,8,FALSE),"")</f>
        <v/>
      </c>
      <c r="F41" s="247" t="str">
        <f>IFERROR(VLOOKUP(B41,Resource!$A$1:$I$200,9,FALSE),"")</f>
        <v/>
      </c>
      <c r="G41" s="195" t="s">
        <v>488</v>
      </c>
      <c r="H41" s="205" t="str">
        <f t="shared" si="0"/>
        <v>No match</v>
      </c>
      <c r="I41" s="247"/>
      <c r="J41" s="206"/>
      <c r="K41" s="195"/>
      <c r="L41" s="195"/>
      <c r="M41" s="195"/>
      <c r="N41" s="195"/>
      <c r="O41" s="222"/>
      <c r="P41" s="226">
        <f t="shared" si="1"/>
        <v>0</v>
      </c>
      <c r="Q41" s="227">
        <f t="shared" si="2"/>
        <v>0</v>
      </c>
      <c r="R41" s="223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95"/>
      <c r="AP41" s="195"/>
      <c r="AQ41" s="195"/>
      <c r="AR41" s="195"/>
      <c r="AS41" s="195"/>
      <c r="AT41" s="195"/>
      <c r="AU41" s="195"/>
      <c r="AV41" s="195"/>
      <c r="AW41" s="195"/>
      <c r="AX41" s="195"/>
      <c r="AY41" s="195"/>
      <c r="AZ41" s="195"/>
      <c r="BA41" s="195"/>
      <c r="BB41" s="195"/>
      <c r="BC41" s="195"/>
      <c r="BD41" s="195"/>
      <c r="BE41" s="195"/>
      <c r="BF41" s="195"/>
      <c r="BG41" s="195"/>
      <c r="BH41" s="195"/>
      <c r="BI41" s="195"/>
      <c r="BJ41" s="195"/>
      <c r="BK41" s="195"/>
      <c r="BL41" s="195"/>
      <c r="BM41" s="195"/>
      <c r="BN41" s="195"/>
      <c r="BO41" s="195"/>
      <c r="BP41" s="195"/>
      <c r="BQ41" s="195"/>
      <c r="BR41" s="195"/>
      <c r="BS41" s="195"/>
      <c r="BT41" s="195"/>
      <c r="BU41" s="195"/>
      <c r="BV41" s="195"/>
      <c r="BW41" s="195"/>
      <c r="BX41" s="195"/>
      <c r="BY41" s="195"/>
    </row>
    <row r="42" spans="1:77" s="261" customFormat="1" ht="15" customHeight="1" x14ac:dyDescent="0.2">
      <c r="A42" s="255"/>
      <c r="B42" s="255" t="s">
        <v>494</v>
      </c>
      <c r="C42" s="256"/>
      <c r="D42" s="256"/>
      <c r="E42" s="256"/>
      <c r="F42" s="256"/>
      <c r="G42" s="255"/>
      <c r="H42" s="205"/>
      <c r="I42" s="256"/>
      <c r="J42" s="255"/>
      <c r="K42" s="255"/>
      <c r="L42" s="255"/>
      <c r="M42" s="255"/>
      <c r="N42" s="255"/>
      <c r="O42" s="257"/>
      <c r="P42" s="258"/>
      <c r="Q42" s="259"/>
      <c r="R42" s="260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5"/>
      <c r="BH42" s="255"/>
      <c r="BI42" s="255"/>
      <c r="BJ42" s="255"/>
      <c r="BK42" s="255"/>
      <c r="BL42" s="255"/>
      <c r="BM42" s="255"/>
      <c r="BN42" s="255"/>
      <c r="BO42" s="255"/>
      <c r="BP42" s="255"/>
      <c r="BQ42" s="255"/>
      <c r="BR42" s="255"/>
      <c r="BS42" s="255"/>
      <c r="BT42" s="255"/>
      <c r="BU42" s="255"/>
      <c r="BV42" s="255"/>
      <c r="BW42" s="255"/>
      <c r="BX42" s="255"/>
      <c r="BY42" s="255"/>
    </row>
    <row r="43" spans="1:77" s="198" customFormat="1" ht="15" customHeight="1" x14ac:dyDescent="0.2">
      <c r="A43" s="195">
        <v>31</v>
      </c>
      <c r="B43" s="195"/>
      <c r="C43" s="195"/>
      <c r="D43" s="247"/>
      <c r="E43" s="195"/>
      <c r="F43" s="195"/>
      <c r="G43" s="195" t="s">
        <v>489</v>
      </c>
      <c r="H43" s="205" t="str">
        <f>_xlfn.SWITCH(E43,1,$B$71,2,$B$72,3,$B$73,4,$B$74,5,$B$75,6,$B$76,7,$B$77,8,$B$78,9,$B$79,"No match")</f>
        <v>No match</v>
      </c>
      <c r="I43" s="247"/>
      <c r="J43" s="206"/>
      <c r="K43" s="195"/>
      <c r="L43" s="195"/>
      <c r="M43" s="195"/>
      <c r="N43" s="195"/>
      <c r="O43" s="222"/>
      <c r="P43" s="226">
        <f t="shared" si="1"/>
        <v>0</v>
      </c>
      <c r="Q43" s="227">
        <f t="shared" si="2"/>
        <v>0</v>
      </c>
      <c r="R43" s="223"/>
      <c r="S43" s="195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195"/>
      <c r="AK43" s="195"/>
      <c r="AL43" s="195"/>
      <c r="AM43" s="195"/>
      <c r="AN43" s="195"/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  <c r="BD43" s="195"/>
      <c r="BE43" s="195"/>
      <c r="BF43" s="195"/>
      <c r="BG43" s="195"/>
      <c r="BH43" s="195"/>
      <c r="BI43" s="195"/>
      <c r="BJ43" s="195"/>
      <c r="BK43" s="195"/>
      <c r="BL43" s="195"/>
      <c r="BM43" s="195"/>
      <c r="BN43" s="195"/>
      <c r="BO43" s="195"/>
      <c r="BP43" s="195"/>
      <c r="BQ43" s="195"/>
      <c r="BR43" s="195"/>
      <c r="BS43" s="195"/>
      <c r="BT43" s="195"/>
      <c r="BU43" s="195"/>
      <c r="BV43" s="195"/>
      <c r="BW43" s="195"/>
      <c r="BX43" s="195"/>
      <c r="BY43" s="195"/>
    </row>
    <row r="44" spans="1:77" s="198" customFormat="1" ht="15" customHeight="1" x14ac:dyDescent="0.2">
      <c r="A44" s="195">
        <v>32</v>
      </c>
      <c r="B44" s="195"/>
      <c r="C44" s="195"/>
      <c r="D44" s="247"/>
      <c r="E44" s="195"/>
      <c r="F44" s="195"/>
      <c r="G44" s="195" t="s">
        <v>489</v>
      </c>
      <c r="H44" s="205" t="str">
        <f>_xlfn.SWITCH(E44,1,$B$71,2,$B$72,3,$B$73,4,$B$74,5,$B$75,6,$B$76,7,$B$77,8,$B$78,9,$B$79,"No match")</f>
        <v>No match</v>
      </c>
      <c r="I44" s="247"/>
      <c r="J44" s="206"/>
      <c r="K44" s="195"/>
      <c r="L44" s="195"/>
      <c r="M44" s="195"/>
      <c r="N44" s="195"/>
      <c r="O44" s="222"/>
      <c r="P44" s="226">
        <f t="shared" si="1"/>
        <v>0</v>
      </c>
      <c r="Q44" s="227">
        <f t="shared" si="2"/>
        <v>0</v>
      </c>
      <c r="R44" s="223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  <c r="AD44" s="195"/>
      <c r="AE44" s="195"/>
      <c r="AF44" s="195"/>
      <c r="AG44" s="195"/>
      <c r="AH44" s="195"/>
      <c r="AI44" s="195"/>
      <c r="AJ44" s="195"/>
      <c r="AK44" s="195"/>
      <c r="AL44" s="195"/>
      <c r="AM44" s="195"/>
      <c r="AN44" s="195"/>
      <c r="AO44" s="195"/>
      <c r="AP44" s="195"/>
      <c r="AQ44" s="195"/>
      <c r="AR44" s="195"/>
      <c r="AS44" s="195"/>
      <c r="AT44" s="195"/>
      <c r="AU44" s="195"/>
      <c r="AV44" s="195"/>
      <c r="AW44" s="195"/>
      <c r="AX44" s="195"/>
      <c r="AY44" s="195"/>
      <c r="AZ44" s="195"/>
      <c r="BA44" s="195"/>
      <c r="BB44" s="195"/>
      <c r="BC44" s="195"/>
      <c r="BD44" s="195"/>
      <c r="BE44" s="195"/>
      <c r="BF44" s="195"/>
      <c r="BG44" s="195"/>
      <c r="BH44" s="195"/>
      <c r="BI44" s="195"/>
      <c r="BJ44" s="195"/>
      <c r="BK44" s="195"/>
      <c r="BL44" s="195"/>
      <c r="BM44" s="195"/>
      <c r="BN44" s="195"/>
      <c r="BO44" s="195"/>
      <c r="BP44" s="195"/>
      <c r="BQ44" s="195"/>
      <c r="BR44" s="195"/>
      <c r="BS44" s="195"/>
      <c r="BT44" s="195"/>
      <c r="BU44" s="195"/>
      <c r="BV44" s="195"/>
      <c r="BW44" s="195"/>
      <c r="BX44" s="195"/>
      <c r="BY44" s="195"/>
    </row>
    <row r="45" spans="1:77" s="198" customFormat="1" ht="15" customHeight="1" x14ac:dyDescent="0.2">
      <c r="A45" s="195">
        <v>33</v>
      </c>
      <c r="B45" s="195"/>
      <c r="C45" s="195"/>
      <c r="D45" s="247"/>
      <c r="E45" s="195"/>
      <c r="F45" s="195"/>
      <c r="G45" s="195" t="s">
        <v>489</v>
      </c>
      <c r="H45" s="205" t="str">
        <f t="shared" ref="H45:H62" si="3">_xlfn.SWITCH(E45,1,$B$71,2,$B$72,3,$B$73,4,$B$74,5,$B$75,6,$B$76,7,$B$77,8,$B$78,9,$B$79,"No match")</f>
        <v>No match</v>
      </c>
      <c r="I45" s="247"/>
      <c r="J45" s="206"/>
      <c r="K45" s="195"/>
      <c r="L45" s="195"/>
      <c r="M45" s="195"/>
      <c r="N45" s="195"/>
      <c r="O45" s="222"/>
      <c r="P45" s="226">
        <f t="shared" si="1"/>
        <v>0</v>
      </c>
      <c r="Q45" s="227">
        <f t="shared" si="2"/>
        <v>0</v>
      </c>
      <c r="R45" s="223"/>
      <c r="S45" s="195"/>
      <c r="T45" s="195"/>
      <c r="U45" s="195"/>
      <c r="V45" s="195"/>
      <c r="W45" s="195"/>
      <c r="X45" s="195"/>
      <c r="Y45" s="195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</row>
    <row r="46" spans="1:77" s="198" customFormat="1" ht="15" customHeight="1" x14ac:dyDescent="0.2">
      <c r="A46" s="195">
        <v>34</v>
      </c>
      <c r="B46" s="195"/>
      <c r="C46" s="195"/>
      <c r="D46" s="247"/>
      <c r="E46" s="195"/>
      <c r="F46" s="195"/>
      <c r="G46" s="195" t="s">
        <v>490</v>
      </c>
      <c r="H46" s="205" t="str">
        <f t="shared" si="3"/>
        <v>No match</v>
      </c>
      <c r="I46" s="247"/>
      <c r="J46" s="206"/>
      <c r="K46" s="195"/>
      <c r="L46" s="195"/>
      <c r="M46" s="195"/>
      <c r="N46" s="195"/>
      <c r="O46" s="222"/>
      <c r="P46" s="226">
        <f t="shared" si="1"/>
        <v>0</v>
      </c>
      <c r="Q46" s="227">
        <f t="shared" si="2"/>
        <v>0</v>
      </c>
      <c r="R46" s="223"/>
      <c r="S46" s="195"/>
      <c r="T46" s="195"/>
      <c r="U46" s="195"/>
      <c r="V46" s="195"/>
      <c r="W46" s="195"/>
      <c r="X46" s="195"/>
      <c r="Y46" s="195"/>
      <c r="Z46" s="195"/>
      <c r="AA46" s="195"/>
      <c r="AB46" s="195"/>
      <c r="AC46" s="195"/>
      <c r="AD46" s="195"/>
      <c r="AE46" s="195"/>
      <c r="AF46" s="195"/>
      <c r="AG46" s="195"/>
      <c r="AH46" s="195"/>
      <c r="AI46" s="195"/>
      <c r="AJ46" s="195"/>
      <c r="AK46" s="195"/>
      <c r="AL46" s="195"/>
      <c r="AM46" s="195"/>
      <c r="AN46" s="195"/>
      <c r="AO46" s="195"/>
      <c r="AP46" s="195"/>
      <c r="AQ46" s="195"/>
      <c r="AR46" s="195"/>
      <c r="AS46" s="195"/>
      <c r="AT46" s="195"/>
      <c r="AU46" s="195"/>
      <c r="AV46" s="195"/>
      <c r="AW46" s="195"/>
      <c r="AX46" s="195"/>
      <c r="AY46" s="195"/>
      <c r="AZ46" s="195"/>
      <c r="BA46" s="195"/>
      <c r="BB46" s="195"/>
      <c r="BC46" s="195"/>
      <c r="BD46" s="195"/>
      <c r="BE46" s="195"/>
      <c r="BF46" s="195"/>
      <c r="BG46" s="195"/>
      <c r="BH46" s="195"/>
      <c r="BI46" s="195"/>
      <c r="BJ46" s="195"/>
      <c r="BK46" s="195"/>
      <c r="BL46" s="195"/>
      <c r="BM46" s="195"/>
      <c r="BN46" s="195"/>
      <c r="BO46" s="195"/>
      <c r="BP46" s="195"/>
      <c r="BQ46" s="195"/>
      <c r="BR46" s="195"/>
      <c r="BS46" s="195"/>
      <c r="BT46" s="195"/>
      <c r="BU46" s="195"/>
      <c r="BV46" s="195"/>
      <c r="BW46" s="195"/>
      <c r="BX46" s="195"/>
      <c r="BY46" s="195"/>
    </row>
    <row r="47" spans="1:77" s="198" customFormat="1" ht="15" customHeight="1" x14ac:dyDescent="0.2">
      <c r="A47" s="195">
        <v>35</v>
      </c>
      <c r="B47" s="195"/>
      <c r="C47" s="195"/>
      <c r="D47" s="247"/>
      <c r="E47" s="195"/>
      <c r="F47" s="195"/>
      <c r="G47" s="195" t="s">
        <v>490</v>
      </c>
      <c r="H47" s="205" t="str">
        <f t="shared" si="3"/>
        <v>No match</v>
      </c>
      <c r="I47" s="247"/>
      <c r="J47" s="206"/>
      <c r="K47" s="195"/>
      <c r="L47" s="195"/>
      <c r="M47" s="195"/>
      <c r="N47" s="195"/>
      <c r="O47" s="222"/>
      <c r="P47" s="226">
        <f t="shared" si="1"/>
        <v>0</v>
      </c>
      <c r="Q47" s="227">
        <f t="shared" si="2"/>
        <v>0</v>
      </c>
      <c r="R47" s="223"/>
      <c r="S47" s="195"/>
      <c r="T47" s="195"/>
      <c r="U47" s="195"/>
      <c r="V47" s="195"/>
      <c r="W47" s="195"/>
      <c r="X47" s="195"/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195"/>
      <c r="AK47" s="195"/>
      <c r="AL47" s="195"/>
      <c r="AM47" s="195"/>
      <c r="AN47" s="195"/>
      <c r="AO47" s="195"/>
      <c r="AP47" s="195"/>
      <c r="AQ47" s="195"/>
      <c r="AR47" s="195"/>
      <c r="AS47" s="195"/>
      <c r="AT47" s="195"/>
      <c r="AU47" s="195"/>
      <c r="AV47" s="195"/>
      <c r="AW47" s="195"/>
      <c r="AX47" s="195"/>
      <c r="AY47" s="195"/>
      <c r="AZ47" s="195"/>
      <c r="BA47" s="195"/>
      <c r="BB47" s="195"/>
      <c r="BC47" s="195"/>
      <c r="BD47" s="195"/>
      <c r="BE47" s="195"/>
      <c r="BF47" s="195"/>
      <c r="BG47" s="195"/>
      <c r="BH47" s="195"/>
      <c r="BI47" s="195"/>
      <c r="BJ47" s="195"/>
      <c r="BK47" s="195"/>
      <c r="BL47" s="195"/>
      <c r="BM47" s="195"/>
      <c r="BN47" s="195"/>
      <c r="BO47" s="195"/>
      <c r="BP47" s="195"/>
      <c r="BQ47" s="195"/>
      <c r="BR47" s="195"/>
      <c r="BS47" s="195"/>
      <c r="BT47" s="195"/>
      <c r="BU47" s="195"/>
      <c r="BV47" s="195"/>
      <c r="BW47" s="195"/>
      <c r="BX47" s="195"/>
      <c r="BY47" s="195"/>
    </row>
    <row r="48" spans="1:77" s="198" customFormat="1" ht="15" customHeight="1" x14ac:dyDescent="0.2">
      <c r="A48" s="195">
        <v>36</v>
      </c>
      <c r="B48" s="195" t="s">
        <v>495</v>
      </c>
      <c r="C48" s="195"/>
      <c r="D48" s="247"/>
      <c r="E48" s="195">
        <v>4</v>
      </c>
      <c r="F48" s="195"/>
      <c r="G48" s="195" t="s">
        <v>490</v>
      </c>
      <c r="H48" s="205">
        <f t="shared" si="3"/>
        <v>321</v>
      </c>
      <c r="I48" s="247">
        <v>400</v>
      </c>
      <c r="J48" s="206"/>
      <c r="K48" s="195"/>
      <c r="L48" s="195"/>
      <c r="M48" s="195"/>
      <c r="N48" s="195"/>
      <c r="O48" s="222"/>
      <c r="P48" s="226">
        <f t="shared" si="1"/>
        <v>2000</v>
      </c>
      <c r="Q48" s="227">
        <f t="shared" si="2"/>
        <v>5</v>
      </c>
      <c r="R48" s="223">
        <v>5</v>
      </c>
      <c r="S48" s="195"/>
      <c r="T48" s="195"/>
      <c r="U48" s="195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5"/>
      <c r="AT48" s="195"/>
      <c r="AU48" s="195"/>
      <c r="AV48" s="195"/>
      <c r="AW48" s="195"/>
      <c r="AX48" s="195"/>
      <c r="AY48" s="195"/>
      <c r="AZ48" s="195"/>
      <c r="BA48" s="195"/>
      <c r="BB48" s="195"/>
      <c r="BC48" s="195"/>
      <c r="BD48" s="195"/>
      <c r="BE48" s="195"/>
      <c r="BF48" s="195"/>
      <c r="BG48" s="195"/>
      <c r="BH48" s="195"/>
      <c r="BI48" s="195"/>
      <c r="BJ48" s="195"/>
      <c r="BK48" s="195"/>
      <c r="BL48" s="195"/>
      <c r="BM48" s="195"/>
      <c r="BN48" s="195"/>
      <c r="BO48" s="195"/>
      <c r="BP48" s="195"/>
      <c r="BQ48" s="195"/>
      <c r="BR48" s="195"/>
      <c r="BS48" s="195"/>
      <c r="BT48" s="195"/>
      <c r="BU48" s="195"/>
      <c r="BV48" s="195"/>
      <c r="BW48" s="195"/>
      <c r="BX48" s="195"/>
      <c r="BY48" s="195"/>
    </row>
    <row r="49" spans="1:77" s="198" customFormat="1" ht="15" customHeight="1" x14ac:dyDescent="0.2">
      <c r="A49" s="195">
        <v>37</v>
      </c>
      <c r="B49" s="195"/>
      <c r="C49" s="195"/>
      <c r="D49" s="247"/>
      <c r="E49" s="195"/>
      <c r="F49" s="195"/>
      <c r="G49" s="195" t="s">
        <v>488</v>
      </c>
      <c r="H49" s="205" t="str">
        <f t="shared" si="3"/>
        <v>No match</v>
      </c>
      <c r="I49" s="247"/>
      <c r="J49" s="206"/>
      <c r="K49" s="195"/>
      <c r="L49" s="195"/>
      <c r="M49" s="195"/>
      <c r="N49" s="195"/>
      <c r="O49" s="222"/>
      <c r="P49" s="226">
        <f t="shared" si="1"/>
        <v>0</v>
      </c>
      <c r="Q49" s="227">
        <f t="shared" si="2"/>
        <v>0</v>
      </c>
      <c r="R49" s="223"/>
      <c r="S49" s="195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BA49" s="195"/>
      <c r="BB49" s="195"/>
      <c r="BC49" s="195"/>
      <c r="BD49" s="195"/>
      <c r="BE49" s="195"/>
      <c r="BF49" s="195"/>
      <c r="BG49" s="195"/>
      <c r="BH49" s="195"/>
      <c r="BI49" s="195"/>
      <c r="BJ49" s="195"/>
      <c r="BK49" s="195"/>
      <c r="BL49" s="195"/>
      <c r="BM49" s="195"/>
      <c r="BN49" s="195"/>
      <c r="BO49" s="195"/>
      <c r="BP49" s="195"/>
      <c r="BQ49" s="195"/>
      <c r="BR49" s="195"/>
      <c r="BS49" s="195"/>
      <c r="BT49" s="195"/>
      <c r="BU49" s="195"/>
      <c r="BV49" s="195"/>
      <c r="BW49" s="195"/>
      <c r="BX49" s="195"/>
      <c r="BY49" s="195"/>
    </row>
    <row r="50" spans="1:77" s="198" customFormat="1" ht="15" customHeight="1" x14ac:dyDescent="0.2">
      <c r="A50" s="195">
        <v>38</v>
      </c>
      <c r="B50" s="195"/>
      <c r="C50" s="195"/>
      <c r="D50" s="247"/>
      <c r="E50" s="195"/>
      <c r="F50" s="195"/>
      <c r="G50" s="195"/>
      <c r="H50" s="205" t="str">
        <f t="shared" si="3"/>
        <v>No match</v>
      </c>
      <c r="I50" s="247"/>
      <c r="J50" s="206"/>
      <c r="K50" s="195"/>
      <c r="L50" s="195"/>
      <c r="M50" s="195"/>
      <c r="N50" s="195"/>
      <c r="O50" s="222"/>
      <c r="P50" s="226">
        <f t="shared" si="1"/>
        <v>0</v>
      </c>
      <c r="Q50" s="227">
        <f t="shared" si="2"/>
        <v>0</v>
      </c>
      <c r="R50" s="223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F50" s="195"/>
      <c r="AG50" s="195"/>
      <c r="AH50" s="195"/>
      <c r="AI50" s="195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195"/>
      <c r="BC50" s="195"/>
      <c r="BD50" s="195"/>
      <c r="BE50" s="195"/>
      <c r="BF50" s="195"/>
      <c r="BG50" s="195"/>
      <c r="BH50" s="195"/>
      <c r="BI50" s="195"/>
      <c r="BJ50" s="195"/>
      <c r="BK50" s="195"/>
      <c r="BL50" s="195"/>
      <c r="BM50" s="195"/>
      <c r="BN50" s="195"/>
      <c r="BO50" s="195"/>
      <c r="BP50" s="195"/>
      <c r="BQ50" s="195"/>
      <c r="BR50" s="195"/>
      <c r="BS50" s="195"/>
      <c r="BT50" s="195"/>
      <c r="BU50" s="195"/>
      <c r="BV50" s="195"/>
      <c r="BW50" s="195"/>
      <c r="BX50" s="195"/>
      <c r="BY50" s="195"/>
    </row>
    <row r="51" spans="1:77" s="198" customFormat="1" ht="15" customHeight="1" x14ac:dyDescent="0.2">
      <c r="A51" s="195">
        <v>39</v>
      </c>
      <c r="B51" s="195"/>
      <c r="C51" s="195"/>
      <c r="D51" s="247"/>
      <c r="E51" s="195"/>
      <c r="F51" s="195"/>
      <c r="G51" s="195"/>
      <c r="H51" s="205" t="str">
        <f t="shared" si="3"/>
        <v>No match</v>
      </c>
      <c r="I51" s="247"/>
      <c r="J51" s="206"/>
      <c r="K51" s="195"/>
      <c r="L51" s="195"/>
      <c r="M51" s="195"/>
      <c r="N51" s="195"/>
      <c r="O51" s="222"/>
      <c r="P51" s="226">
        <f t="shared" si="1"/>
        <v>0</v>
      </c>
      <c r="Q51" s="227">
        <f t="shared" si="2"/>
        <v>0</v>
      </c>
      <c r="R51" s="223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  <c r="BD51" s="195"/>
      <c r="BE51" s="195"/>
      <c r="BF51" s="195"/>
      <c r="BG51" s="195"/>
      <c r="BH51" s="195"/>
      <c r="BI51" s="195"/>
      <c r="BJ51" s="195"/>
      <c r="BK51" s="195"/>
      <c r="BL51" s="195"/>
      <c r="BM51" s="195"/>
      <c r="BN51" s="195"/>
      <c r="BO51" s="195"/>
      <c r="BP51" s="195"/>
      <c r="BQ51" s="195"/>
      <c r="BR51" s="195"/>
      <c r="BS51" s="195"/>
      <c r="BT51" s="195"/>
      <c r="BU51" s="195"/>
      <c r="BV51" s="195"/>
      <c r="BW51" s="195"/>
      <c r="BX51" s="195"/>
      <c r="BY51" s="195"/>
    </row>
    <row r="52" spans="1:77" s="198" customFormat="1" ht="15" customHeight="1" x14ac:dyDescent="0.2">
      <c r="A52" s="195">
        <v>40</v>
      </c>
      <c r="B52" s="195"/>
      <c r="C52" s="195"/>
      <c r="D52" s="247"/>
      <c r="E52" s="195"/>
      <c r="F52" s="195"/>
      <c r="G52" s="195"/>
      <c r="H52" s="205" t="str">
        <f t="shared" si="3"/>
        <v>No match</v>
      </c>
      <c r="I52" s="247"/>
      <c r="J52" s="206"/>
      <c r="K52" s="195"/>
      <c r="L52" s="195"/>
      <c r="M52" s="195"/>
      <c r="N52" s="195"/>
      <c r="O52" s="222"/>
      <c r="P52" s="226">
        <f t="shared" si="1"/>
        <v>0</v>
      </c>
      <c r="Q52" s="227">
        <f t="shared" si="2"/>
        <v>0</v>
      </c>
      <c r="R52" s="223"/>
      <c r="S52" s="195"/>
      <c r="T52" s="195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L52" s="195"/>
      <c r="AM52" s="195"/>
      <c r="AN52" s="195"/>
      <c r="AO52" s="195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BA52" s="195"/>
      <c r="BB52" s="195"/>
      <c r="BC52" s="195"/>
      <c r="BD52" s="195"/>
      <c r="BE52" s="195"/>
      <c r="BF52" s="195"/>
      <c r="BG52" s="195"/>
      <c r="BH52" s="195"/>
      <c r="BI52" s="195"/>
      <c r="BJ52" s="195"/>
      <c r="BK52" s="195"/>
      <c r="BL52" s="195"/>
      <c r="BM52" s="195"/>
      <c r="BN52" s="195"/>
      <c r="BO52" s="195"/>
      <c r="BP52" s="195"/>
      <c r="BQ52" s="195"/>
      <c r="BR52" s="195"/>
      <c r="BS52" s="195"/>
      <c r="BT52" s="195"/>
      <c r="BU52" s="195"/>
      <c r="BV52" s="195"/>
      <c r="BW52" s="195"/>
      <c r="BX52" s="195"/>
      <c r="BY52" s="195"/>
    </row>
    <row r="53" spans="1:77" s="198" customFormat="1" ht="15" customHeight="1" x14ac:dyDescent="0.2">
      <c r="A53" s="195">
        <v>41</v>
      </c>
      <c r="B53" s="195"/>
      <c r="C53" s="195"/>
      <c r="D53" s="247"/>
      <c r="E53" s="195"/>
      <c r="F53" s="195"/>
      <c r="G53" s="195"/>
      <c r="H53" s="205" t="str">
        <f t="shared" si="3"/>
        <v>No match</v>
      </c>
      <c r="I53" s="247"/>
      <c r="J53" s="206"/>
      <c r="K53" s="195"/>
      <c r="L53" s="195"/>
      <c r="M53" s="195"/>
      <c r="N53" s="195"/>
      <c r="O53" s="222"/>
      <c r="P53" s="226">
        <f t="shared" si="1"/>
        <v>0</v>
      </c>
      <c r="Q53" s="227">
        <f t="shared" si="2"/>
        <v>0</v>
      </c>
      <c r="R53" s="223"/>
      <c r="S53" s="195"/>
      <c r="T53" s="195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5"/>
      <c r="BO53" s="195"/>
      <c r="BP53" s="195"/>
      <c r="BQ53" s="195"/>
      <c r="BR53" s="195"/>
      <c r="BS53" s="195"/>
      <c r="BT53" s="195"/>
      <c r="BU53" s="195"/>
      <c r="BV53" s="195"/>
      <c r="BW53" s="195"/>
      <c r="BX53" s="195"/>
      <c r="BY53" s="195"/>
    </row>
    <row r="54" spans="1:77" s="198" customFormat="1" ht="15" customHeight="1" x14ac:dyDescent="0.2">
      <c r="A54" s="195">
        <v>42</v>
      </c>
      <c r="B54" s="195"/>
      <c r="C54" s="195"/>
      <c r="D54" s="247"/>
      <c r="E54" s="195"/>
      <c r="F54" s="195"/>
      <c r="G54" s="195"/>
      <c r="H54" s="205" t="str">
        <f t="shared" si="3"/>
        <v>No match</v>
      </c>
      <c r="I54" s="247"/>
      <c r="J54" s="206"/>
      <c r="K54" s="195"/>
      <c r="L54" s="195"/>
      <c r="M54" s="195"/>
      <c r="N54" s="195"/>
      <c r="O54" s="222"/>
      <c r="P54" s="226">
        <f t="shared" si="1"/>
        <v>0</v>
      </c>
      <c r="Q54" s="227">
        <f t="shared" si="2"/>
        <v>0</v>
      </c>
      <c r="R54" s="223"/>
      <c r="S54" s="195"/>
      <c r="T54" s="195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L54" s="195"/>
      <c r="AM54" s="195"/>
      <c r="AN54" s="195"/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5"/>
      <c r="BB54" s="195"/>
      <c r="BC54" s="195"/>
      <c r="BD54" s="195"/>
      <c r="BE54" s="195"/>
      <c r="BF54" s="195"/>
      <c r="BG54" s="195"/>
      <c r="BH54" s="195"/>
      <c r="BI54" s="195"/>
      <c r="BJ54" s="195"/>
      <c r="BK54" s="195"/>
      <c r="BL54" s="195"/>
      <c r="BM54" s="195"/>
      <c r="BN54" s="195"/>
      <c r="BO54" s="195"/>
      <c r="BP54" s="195"/>
      <c r="BQ54" s="195"/>
      <c r="BR54" s="195"/>
      <c r="BS54" s="195"/>
      <c r="BT54" s="195"/>
      <c r="BU54" s="195"/>
      <c r="BV54" s="195"/>
      <c r="BW54" s="195"/>
      <c r="BX54" s="195"/>
      <c r="BY54" s="195"/>
    </row>
    <row r="55" spans="1:77" s="198" customFormat="1" ht="15" customHeight="1" x14ac:dyDescent="0.2">
      <c r="A55" s="195">
        <v>43</v>
      </c>
      <c r="B55" s="195"/>
      <c r="C55" s="195"/>
      <c r="D55" s="247"/>
      <c r="E55" s="195"/>
      <c r="F55" s="195"/>
      <c r="G55" s="195"/>
      <c r="H55" s="205" t="str">
        <f t="shared" si="3"/>
        <v>No match</v>
      </c>
      <c r="I55" s="247"/>
      <c r="J55" s="206"/>
      <c r="K55" s="195"/>
      <c r="L55" s="195"/>
      <c r="M55" s="195"/>
      <c r="N55" s="195"/>
      <c r="O55" s="222"/>
      <c r="P55" s="226">
        <f t="shared" si="1"/>
        <v>0</v>
      </c>
      <c r="Q55" s="227">
        <f t="shared" si="2"/>
        <v>0</v>
      </c>
      <c r="R55" s="223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/>
      <c r="BP55" s="195"/>
      <c r="BQ55" s="195"/>
      <c r="BR55" s="195"/>
      <c r="BS55" s="195"/>
      <c r="BT55" s="195"/>
      <c r="BU55" s="195"/>
      <c r="BV55" s="195"/>
      <c r="BW55" s="195"/>
      <c r="BX55" s="195"/>
      <c r="BY55" s="195"/>
    </row>
    <row r="56" spans="1:77" s="198" customFormat="1" ht="15" customHeight="1" x14ac:dyDescent="0.2">
      <c r="A56" s="195">
        <v>44</v>
      </c>
      <c r="B56" s="195"/>
      <c r="C56" s="195"/>
      <c r="D56" s="247"/>
      <c r="E56" s="195"/>
      <c r="F56" s="195"/>
      <c r="G56" s="195"/>
      <c r="H56" s="205" t="str">
        <f t="shared" si="3"/>
        <v>No match</v>
      </c>
      <c r="I56" s="247"/>
      <c r="J56" s="206"/>
      <c r="K56" s="195"/>
      <c r="L56" s="195"/>
      <c r="M56" s="195"/>
      <c r="N56" s="195"/>
      <c r="O56" s="222"/>
      <c r="P56" s="226">
        <f t="shared" si="1"/>
        <v>0</v>
      </c>
      <c r="Q56" s="227">
        <f t="shared" si="2"/>
        <v>0</v>
      </c>
      <c r="R56" s="223"/>
      <c r="S56" s="195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L56" s="195"/>
      <c r="AM56" s="195"/>
      <c r="AN56" s="195"/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5"/>
      <c r="BB56" s="195"/>
      <c r="BC56" s="195"/>
      <c r="BD56" s="195"/>
      <c r="BE56" s="195"/>
      <c r="BF56" s="195"/>
      <c r="BG56" s="195"/>
      <c r="BH56" s="195"/>
      <c r="BI56" s="195"/>
      <c r="BJ56" s="195"/>
      <c r="BK56" s="195"/>
      <c r="BL56" s="195"/>
      <c r="BM56" s="195"/>
      <c r="BN56" s="195"/>
      <c r="BO56" s="195"/>
      <c r="BP56" s="195"/>
      <c r="BQ56" s="195"/>
      <c r="BR56" s="195"/>
      <c r="BS56" s="195"/>
      <c r="BT56" s="195"/>
      <c r="BU56" s="195"/>
      <c r="BV56" s="195"/>
      <c r="BW56" s="195"/>
      <c r="BX56" s="195"/>
      <c r="BY56" s="195"/>
    </row>
    <row r="57" spans="1:77" s="198" customFormat="1" ht="15" customHeight="1" x14ac:dyDescent="0.2">
      <c r="A57" s="195">
        <v>45</v>
      </c>
      <c r="B57" s="195"/>
      <c r="C57" s="195"/>
      <c r="D57" s="247"/>
      <c r="E57" s="195"/>
      <c r="F57" s="195"/>
      <c r="G57" s="195"/>
      <c r="H57" s="205" t="str">
        <f t="shared" si="3"/>
        <v>No match</v>
      </c>
      <c r="I57" s="247"/>
      <c r="J57" s="206"/>
      <c r="K57" s="195"/>
      <c r="L57" s="195"/>
      <c r="M57" s="195"/>
      <c r="N57" s="195"/>
      <c r="O57" s="222"/>
      <c r="P57" s="226">
        <f t="shared" si="1"/>
        <v>0</v>
      </c>
      <c r="Q57" s="227">
        <f t="shared" si="2"/>
        <v>0</v>
      </c>
      <c r="R57" s="223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5"/>
      <c r="BG57" s="195"/>
      <c r="BH57" s="195"/>
      <c r="BI57" s="195"/>
      <c r="BJ57" s="195"/>
      <c r="BK57" s="195"/>
      <c r="BL57" s="195"/>
      <c r="BM57" s="195"/>
      <c r="BN57" s="195"/>
      <c r="BO57" s="195"/>
      <c r="BP57" s="195"/>
      <c r="BQ57" s="195"/>
      <c r="BR57" s="195"/>
      <c r="BS57" s="195"/>
      <c r="BT57" s="195"/>
      <c r="BU57" s="195"/>
      <c r="BV57" s="195"/>
      <c r="BW57" s="195"/>
      <c r="BX57" s="195"/>
      <c r="BY57" s="195"/>
    </row>
    <row r="58" spans="1:77" s="198" customFormat="1" ht="15" customHeight="1" x14ac:dyDescent="0.2">
      <c r="A58" s="195">
        <v>46</v>
      </c>
      <c r="B58" s="195"/>
      <c r="C58" s="195"/>
      <c r="D58" s="247"/>
      <c r="E58" s="195"/>
      <c r="F58" s="195"/>
      <c r="G58" s="195"/>
      <c r="H58" s="205" t="str">
        <f t="shared" si="3"/>
        <v>No match</v>
      </c>
      <c r="I58" s="247"/>
      <c r="J58" s="206"/>
      <c r="K58" s="195"/>
      <c r="L58" s="195"/>
      <c r="M58" s="195"/>
      <c r="N58" s="195"/>
      <c r="O58" s="222"/>
      <c r="P58" s="226">
        <f t="shared" si="1"/>
        <v>0</v>
      </c>
      <c r="Q58" s="227">
        <f t="shared" si="2"/>
        <v>0</v>
      </c>
      <c r="R58" s="223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L58" s="195"/>
      <c r="AM58" s="195"/>
      <c r="AN58" s="195"/>
      <c r="AO58" s="195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5"/>
      <c r="BG58" s="195"/>
      <c r="BH58" s="195"/>
      <c r="BI58" s="195"/>
      <c r="BJ58" s="195"/>
      <c r="BK58" s="195"/>
      <c r="BL58" s="195"/>
      <c r="BM58" s="195"/>
      <c r="BN58" s="195"/>
      <c r="BO58" s="195"/>
      <c r="BP58" s="195"/>
      <c r="BQ58" s="195"/>
      <c r="BR58" s="195"/>
      <c r="BS58" s="195"/>
      <c r="BT58" s="195"/>
      <c r="BU58" s="195"/>
      <c r="BV58" s="195"/>
      <c r="BW58" s="195"/>
      <c r="BX58" s="195"/>
      <c r="BY58" s="195"/>
    </row>
    <row r="59" spans="1:77" s="198" customFormat="1" ht="15" customHeight="1" x14ac:dyDescent="0.2">
      <c r="A59" s="195">
        <v>47</v>
      </c>
      <c r="B59" s="195"/>
      <c r="C59" s="195"/>
      <c r="D59" s="247"/>
      <c r="E59" s="195"/>
      <c r="F59" s="195"/>
      <c r="G59" s="195"/>
      <c r="H59" s="205" t="str">
        <f t="shared" si="3"/>
        <v>No match</v>
      </c>
      <c r="I59" s="247"/>
      <c r="J59" s="206"/>
      <c r="K59" s="195"/>
      <c r="L59" s="195"/>
      <c r="M59" s="195"/>
      <c r="N59" s="195"/>
      <c r="O59" s="222"/>
      <c r="P59" s="226">
        <f t="shared" si="1"/>
        <v>0</v>
      </c>
      <c r="Q59" s="227">
        <f t="shared" si="2"/>
        <v>0</v>
      </c>
      <c r="R59" s="223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L59" s="195"/>
      <c r="AM59" s="195"/>
      <c r="AN59" s="195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5"/>
      <c r="BG59" s="195"/>
      <c r="BH59" s="195"/>
      <c r="BI59" s="195"/>
      <c r="BJ59" s="195"/>
      <c r="BK59" s="195"/>
      <c r="BL59" s="195"/>
      <c r="BM59" s="195"/>
      <c r="BN59" s="195"/>
      <c r="BO59" s="195"/>
      <c r="BP59" s="195"/>
      <c r="BQ59" s="195"/>
      <c r="BR59" s="195"/>
      <c r="BS59" s="195"/>
      <c r="BT59" s="195"/>
      <c r="BU59" s="195"/>
      <c r="BV59" s="195"/>
      <c r="BW59" s="195"/>
      <c r="BX59" s="195"/>
      <c r="BY59" s="195"/>
    </row>
    <row r="60" spans="1:77" s="198" customFormat="1" ht="15" customHeight="1" x14ac:dyDescent="0.2">
      <c r="A60" s="195">
        <v>48</v>
      </c>
      <c r="B60" s="195"/>
      <c r="C60" s="195"/>
      <c r="D60" s="247"/>
      <c r="E60" s="195"/>
      <c r="F60" s="195"/>
      <c r="G60" s="195"/>
      <c r="H60" s="205" t="str">
        <f t="shared" si="3"/>
        <v>No match</v>
      </c>
      <c r="I60" s="247"/>
      <c r="J60" s="206"/>
      <c r="K60" s="195"/>
      <c r="L60" s="195"/>
      <c r="M60" s="195"/>
      <c r="N60" s="195"/>
      <c r="O60" s="222"/>
      <c r="P60" s="226">
        <f t="shared" si="1"/>
        <v>0</v>
      </c>
      <c r="Q60" s="227">
        <f t="shared" si="2"/>
        <v>0</v>
      </c>
      <c r="R60" s="223"/>
      <c r="S60" s="195"/>
      <c r="T60" s="195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L60" s="195"/>
      <c r="AM60" s="195"/>
      <c r="AN60" s="195"/>
      <c r="AO60" s="195"/>
      <c r="AP60" s="195"/>
      <c r="AQ60" s="195"/>
      <c r="AR60" s="195"/>
      <c r="AS60" s="195"/>
      <c r="AT60" s="195"/>
      <c r="AU60" s="195"/>
      <c r="AV60" s="195"/>
      <c r="AW60" s="195"/>
      <c r="AX60" s="195"/>
      <c r="AY60" s="195"/>
      <c r="AZ60" s="195"/>
      <c r="BA60" s="195"/>
      <c r="BB60" s="195"/>
      <c r="BC60" s="195"/>
      <c r="BD60" s="195"/>
      <c r="BE60" s="195"/>
      <c r="BF60" s="195"/>
      <c r="BG60" s="195"/>
      <c r="BH60" s="195"/>
      <c r="BI60" s="195"/>
      <c r="BJ60" s="195"/>
      <c r="BK60" s="195"/>
      <c r="BL60" s="195"/>
      <c r="BM60" s="195"/>
      <c r="BN60" s="195"/>
      <c r="BO60" s="195"/>
      <c r="BP60" s="195"/>
      <c r="BQ60" s="195"/>
      <c r="BR60" s="195"/>
      <c r="BS60" s="195"/>
      <c r="BT60" s="195"/>
      <c r="BU60" s="195"/>
      <c r="BV60" s="195"/>
      <c r="BW60" s="195"/>
      <c r="BX60" s="195"/>
      <c r="BY60" s="195"/>
    </row>
    <row r="61" spans="1:77" s="198" customFormat="1" ht="15" customHeight="1" x14ac:dyDescent="0.2">
      <c r="A61" s="195">
        <v>49</v>
      </c>
      <c r="B61" s="195"/>
      <c r="C61" s="195"/>
      <c r="D61" s="247"/>
      <c r="E61" s="195"/>
      <c r="F61" s="195"/>
      <c r="G61" s="195"/>
      <c r="H61" s="205" t="str">
        <f t="shared" si="3"/>
        <v>No match</v>
      </c>
      <c r="I61" s="247"/>
      <c r="J61" s="206"/>
      <c r="K61" s="195"/>
      <c r="L61" s="195"/>
      <c r="M61" s="195"/>
      <c r="N61" s="195"/>
      <c r="O61" s="222"/>
      <c r="P61" s="226">
        <f t="shared" si="1"/>
        <v>0</v>
      </c>
      <c r="Q61" s="227">
        <f t="shared" si="2"/>
        <v>0</v>
      </c>
      <c r="R61" s="223"/>
      <c r="S61" s="195"/>
      <c r="T61" s="195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L61" s="195"/>
      <c r="AM61" s="195"/>
      <c r="AN61" s="195"/>
      <c r="AO61" s="195"/>
      <c r="AP61" s="195"/>
      <c r="AQ61" s="195"/>
      <c r="AR61" s="195"/>
      <c r="AS61" s="195"/>
      <c r="AT61" s="195"/>
      <c r="AU61" s="195"/>
      <c r="AV61" s="195"/>
      <c r="AW61" s="195"/>
      <c r="AX61" s="195"/>
      <c r="AY61" s="195"/>
      <c r="AZ61" s="195"/>
      <c r="BA61" s="195"/>
      <c r="BB61" s="195"/>
      <c r="BC61" s="195"/>
      <c r="BD61" s="195"/>
      <c r="BE61" s="195"/>
      <c r="BF61" s="195"/>
      <c r="BG61" s="195"/>
      <c r="BH61" s="195"/>
      <c r="BI61" s="195"/>
      <c r="BJ61" s="195"/>
      <c r="BK61" s="195"/>
      <c r="BL61" s="195"/>
      <c r="BM61" s="195"/>
      <c r="BN61" s="195"/>
      <c r="BO61" s="195"/>
      <c r="BP61" s="195"/>
      <c r="BQ61" s="195"/>
      <c r="BR61" s="195"/>
      <c r="BS61" s="195"/>
      <c r="BT61" s="195"/>
      <c r="BU61" s="195"/>
      <c r="BV61" s="195"/>
      <c r="BW61" s="195"/>
      <c r="BX61" s="195"/>
      <c r="BY61" s="195"/>
    </row>
    <row r="62" spans="1:77" s="198" customFormat="1" ht="15" customHeight="1" x14ac:dyDescent="0.2">
      <c r="A62" s="195">
        <v>50</v>
      </c>
      <c r="B62" s="195"/>
      <c r="C62" s="195"/>
      <c r="D62" s="247"/>
      <c r="E62" s="195"/>
      <c r="F62" s="195"/>
      <c r="G62" s="195"/>
      <c r="H62" s="205" t="str">
        <f t="shared" si="3"/>
        <v>No match</v>
      </c>
      <c r="I62" s="247"/>
      <c r="J62" s="206"/>
      <c r="K62" s="195"/>
      <c r="L62" s="195"/>
      <c r="M62" s="195"/>
      <c r="N62" s="195"/>
      <c r="O62" s="222"/>
      <c r="P62" s="226">
        <f t="shared" si="1"/>
        <v>0</v>
      </c>
      <c r="Q62" s="227">
        <f t="shared" si="2"/>
        <v>0</v>
      </c>
      <c r="R62" s="223"/>
      <c r="S62" s="195"/>
      <c r="T62" s="195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L62" s="195"/>
      <c r="AM62" s="195"/>
      <c r="AN62" s="195"/>
      <c r="AO62" s="195"/>
      <c r="AP62" s="195"/>
      <c r="AQ62" s="195"/>
      <c r="AR62" s="195"/>
      <c r="AS62" s="195"/>
      <c r="AT62" s="195"/>
      <c r="AU62" s="195"/>
      <c r="AV62" s="195"/>
      <c r="AW62" s="195"/>
      <c r="AX62" s="195"/>
      <c r="AY62" s="195"/>
      <c r="AZ62" s="195"/>
      <c r="BA62" s="195"/>
      <c r="BB62" s="195"/>
      <c r="BC62" s="195"/>
      <c r="BD62" s="195"/>
      <c r="BE62" s="195"/>
      <c r="BF62" s="195"/>
      <c r="BG62" s="195"/>
      <c r="BH62" s="195"/>
      <c r="BI62" s="195"/>
      <c r="BJ62" s="195"/>
      <c r="BK62" s="195"/>
      <c r="BL62" s="195"/>
      <c r="BM62" s="195"/>
      <c r="BN62" s="195"/>
      <c r="BO62" s="195"/>
      <c r="BP62" s="195"/>
      <c r="BQ62" s="195"/>
      <c r="BR62" s="195"/>
      <c r="BS62" s="195"/>
      <c r="BT62" s="195"/>
      <c r="BU62" s="195"/>
      <c r="BV62" s="195"/>
      <c r="BW62" s="195"/>
      <c r="BX62" s="195"/>
      <c r="BY62" s="195"/>
    </row>
    <row r="63" spans="1:77" s="198" customFormat="1" ht="15" x14ac:dyDescent="0.2">
      <c r="A63" s="239"/>
      <c r="B63" s="200"/>
      <c r="C63" s="200"/>
      <c r="D63" s="201"/>
      <c r="E63" s="201"/>
      <c r="F63" s="201"/>
      <c r="G63" s="201"/>
      <c r="H63" s="205"/>
      <c r="I63" s="237"/>
      <c r="J63" s="204"/>
      <c r="K63" s="201"/>
      <c r="L63" s="201"/>
      <c r="M63" s="201"/>
      <c r="N63" s="240" t="s">
        <v>184</v>
      </c>
      <c r="O63" s="221"/>
      <c r="P63" s="228"/>
      <c r="Q63" s="229"/>
      <c r="R63" s="207">
        <f t="shared" ref="R63:AW63" si="4">SUMPRODUCT($H$12:$H$62,R12:R62)*(1+R7)</f>
        <v>2217</v>
      </c>
      <c r="S63" s="207">
        <f t="shared" si="4"/>
        <v>510.5</v>
      </c>
      <c r="T63" s="207">
        <f t="shared" si="4"/>
        <v>919.5</v>
      </c>
      <c r="U63" s="207">
        <f t="shared" si="4"/>
        <v>1328.5</v>
      </c>
      <c r="V63" s="207">
        <f t="shared" si="4"/>
        <v>204.5</v>
      </c>
      <c r="W63" s="207">
        <f t="shared" si="4"/>
        <v>204.5</v>
      </c>
      <c r="X63" s="207">
        <f t="shared" si="4"/>
        <v>204.5</v>
      </c>
      <c r="Y63" s="207">
        <f t="shared" si="4"/>
        <v>204.5</v>
      </c>
      <c r="Z63" s="207">
        <f t="shared" si="4"/>
        <v>204.5</v>
      </c>
      <c r="AA63" s="207">
        <f t="shared" si="4"/>
        <v>204.5</v>
      </c>
      <c r="AB63" s="207">
        <f t="shared" si="4"/>
        <v>204.5</v>
      </c>
      <c r="AC63" s="207">
        <f t="shared" si="4"/>
        <v>204.5</v>
      </c>
      <c r="AD63" s="207">
        <f t="shared" si="4"/>
        <v>210.63500000000002</v>
      </c>
      <c r="AE63" s="207">
        <f t="shared" si="4"/>
        <v>210.63500000000002</v>
      </c>
      <c r="AF63" s="207">
        <f t="shared" si="4"/>
        <v>210.63500000000002</v>
      </c>
      <c r="AG63" s="207">
        <f t="shared" si="4"/>
        <v>210.63500000000002</v>
      </c>
      <c r="AH63" s="207">
        <f t="shared" si="4"/>
        <v>210.63500000000002</v>
      </c>
      <c r="AI63" s="207">
        <f t="shared" si="4"/>
        <v>210.63500000000002</v>
      </c>
      <c r="AJ63" s="207">
        <f t="shared" si="4"/>
        <v>210.63500000000002</v>
      </c>
      <c r="AK63" s="207">
        <f t="shared" si="4"/>
        <v>210.63500000000002</v>
      </c>
      <c r="AL63" s="207">
        <f t="shared" si="4"/>
        <v>210.63500000000002</v>
      </c>
      <c r="AM63" s="207">
        <f t="shared" si="4"/>
        <v>210.63500000000002</v>
      </c>
      <c r="AN63" s="207">
        <f t="shared" si="4"/>
        <v>210.63500000000002</v>
      </c>
      <c r="AO63" s="207">
        <f t="shared" si="4"/>
        <v>210.63500000000002</v>
      </c>
      <c r="AP63" s="207">
        <f t="shared" si="4"/>
        <v>218.81500000000003</v>
      </c>
      <c r="AQ63" s="207">
        <f t="shared" si="4"/>
        <v>218.81500000000003</v>
      </c>
      <c r="AR63" s="207">
        <f t="shared" si="4"/>
        <v>218.81500000000003</v>
      </c>
      <c r="AS63" s="207">
        <f t="shared" si="4"/>
        <v>218.81500000000003</v>
      </c>
      <c r="AT63" s="207">
        <f t="shared" si="4"/>
        <v>218.81500000000003</v>
      </c>
      <c r="AU63" s="207">
        <f t="shared" si="4"/>
        <v>218.81500000000003</v>
      </c>
      <c r="AV63" s="207">
        <f t="shared" si="4"/>
        <v>218.81500000000003</v>
      </c>
      <c r="AW63" s="207">
        <f t="shared" si="4"/>
        <v>218.81500000000003</v>
      </c>
      <c r="AX63" s="207">
        <f t="shared" ref="AX63:BY63" si="5">SUMPRODUCT($H$12:$H$62,AX12:AX62)*(1+AX7)</f>
        <v>218.81500000000003</v>
      </c>
      <c r="AY63" s="207">
        <f t="shared" si="5"/>
        <v>218.81500000000003</v>
      </c>
      <c r="AZ63" s="207">
        <f t="shared" si="5"/>
        <v>218.81500000000003</v>
      </c>
      <c r="BA63" s="207">
        <f t="shared" si="5"/>
        <v>218.81500000000003</v>
      </c>
      <c r="BB63" s="207">
        <f t="shared" si="5"/>
        <v>0</v>
      </c>
      <c r="BC63" s="207">
        <f t="shared" si="5"/>
        <v>0</v>
      </c>
      <c r="BD63" s="207">
        <f t="shared" si="5"/>
        <v>0</v>
      </c>
      <c r="BE63" s="207">
        <f t="shared" si="5"/>
        <v>0</v>
      </c>
      <c r="BF63" s="207">
        <f t="shared" si="5"/>
        <v>0</v>
      </c>
      <c r="BG63" s="207">
        <f t="shared" si="5"/>
        <v>0</v>
      </c>
      <c r="BH63" s="207">
        <f t="shared" si="5"/>
        <v>0</v>
      </c>
      <c r="BI63" s="207">
        <f t="shared" si="5"/>
        <v>0</v>
      </c>
      <c r="BJ63" s="207">
        <f t="shared" si="5"/>
        <v>0</v>
      </c>
      <c r="BK63" s="207">
        <f t="shared" si="5"/>
        <v>0</v>
      </c>
      <c r="BL63" s="207">
        <f t="shared" si="5"/>
        <v>0</v>
      </c>
      <c r="BM63" s="207">
        <f t="shared" si="5"/>
        <v>0</v>
      </c>
      <c r="BN63" s="207">
        <f t="shared" si="5"/>
        <v>0</v>
      </c>
      <c r="BO63" s="207">
        <f t="shared" si="5"/>
        <v>0</v>
      </c>
      <c r="BP63" s="207">
        <f t="shared" si="5"/>
        <v>0</v>
      </c>
      <c r="BQ63" s="207">
        <f t="shared" si="5"/>
        <v>0</v>
      </c>
      <c r="BR63" s="207">
        <f t="shared" si="5"/>
        <v>0</v>
      </c>
      <c r="BS63" s="207">
        <f t="shared" si="5"/>
        <v>0</v>
      </c>
      <c r="BT63" s="207">
        <f t="shared" si="5"/>
        <v>0</v>
      </c>
      <c r="BU63" s="207">
        <f t="shared" si="5"/>
        <v>0</v>
      </c>
      <c r="BV63" s="207">
        <f t="shared" si="5"/>
        <v>0</v>
      </c>
      <c r="BW63" s="207">
        <f t="shared" si="5"/>
        <v>0</v>
      </c>
      <c r="BX63" s="207">
        <f t="shared" si="5"/>
        <v>0</v>
      </c>
      <c r="BY63" s="207">
        <f t="shared" si="5"/>
        <v>0</v>
      </c>
    </row>
    <row r="64" spans="1:77" s="198" customFormat="1" ht="15" x14ac:dyDescent="0.2">
      <c r="A64" s="239"/>
      <c r="B64" s="200"/>
      <c r="C64" s="200"/>
      <c r="D64" s="201"/>
      <c r="E64" s="201"/>
      <c r="F64" s="201"/>
      <c r="G64" s="201"/>
      <c r="H64" s="205"/>
      <c r="I64" s="237"/>
      <c r="J64" s="204"/>
      <c r="K64" s="201"/>
      <c r="L64" s="201"/>
      <c r="M64" s="201"/>
      <c r="N64" s="240" t="s">
        <v>185</v>
      </c>
      <c r="O64" s="221"/>
      <c r="P64" s="228"/>
      <c r="Q64" s="229"/>
      <c r="R64" s="207">
        <f t="shared" ref="R64:AW64" si="6">R63*$B$82</f>
        <v>3547.2000000000003</v>
      </c>
      <c r="S64" s="207">
        <f t="shared" si="6"/>
        <v>816.80000000000007</v>
      </c>
      <c r="T64" s="207">
        <f t="shared" si="6"/>
        <v>1471.2</v>
      </c>
      <c r="U64" s="207">
        <f t="shared" si="6"/>
        <v>2125.6</v>
      </c>
      <c r="V64" s="207">
        <f t="shared" si="6"/>
        <v>327.20000000000005</v>
      </c>
      <c r="W64" s="207">
        <f t="shared" si="6"/>
        <v>327.20000000000005</v>
      </c>
      <c r="X64" s="207">
        <f t="shared" si="6"/>
        <v>327.20000000000005</v>
      </c>
      <c r="Y64" s="207">
        <f t="shared" si="6"/>
        <v>327.20000000000005</v>
      </c>
      <c r="Z64" s="207">
        <f t="shared" si="6"/>
        <v>327.20000000000005</v>
      </c>
      <c r="AA64" s="207">
        <f t="shared" si="6"/>
        <v>327.20000000000005</v>
      </c>
      <c r="AB64" s="207">
        <f t="shared" si="6"/>
        <v>327.20000000000005</v>
      </c>
      <c r="AC64" s="207">
        <f t="shared" si="6"/>
        <v>327.20000000000005</v>
      </c>
      <c r="AD64" s="207">
        <f t="shared" si="6"/>
        <v>337.01600000000008</v>
      </c>
      <c r="AE64" s="207">
        <f t="shared" si="6"/>
        <v>337.01600000000008</v>
      </c>
      <c r="AF64" s="207">
        <f t="shared" si="6"/>
        <v>337.01600000000008</v>
      </c>
      <c r="AG64" s="207">
        <f t="shared" si="6"/>
        <v>337.01600000000008</v>
      </c>
      <c r="AH64" s="207">
        <f t="shared" si="6"/>
        <v>337.01600000000008</v>
      </c>
      <c r="AI64" s="207">
        <f t="shared" si="6"/>
        <v>337.01600000000008</v>
      </c>
      <c r="AJ64" s="207">
        <f t="shared" si="6"/>
        <v>337.01600000000008</v>
      </c>
      <c r="AK64" s="207">
        <f t="shared" si="6"/>
        <v>337.01600000000008</v>
      </c>
      <c r="AL64" s="207">
        <f t="shared" si="6"/>
        <v>337.01600000000008</v>
      </c>
      <c r="AM64" s="207">
        <f t="shared" si="6"/>
        <v>337.01600000000008</v>
      </c>
      <c r="AN64" s="207">
        <f t="shared" si="6"/>
        <v>337.01600000000008</v>
      </c>
      <c r="AO64" s="207">
        <f t="shared" si="6"/>
        <v>337.01600000000008</v>
      </c>
      <c r="AP64" s="207">
        <f t="shared" si="6"/>
        <v>350.10400000000004</v>
      </c>
      <c r="AQ64" s="207">
        <f t="shared" si="6"/>
        <v>350.10400000000004</v>
      </c>
      <c r="AR64" s="207">
        <f t="shared" si="6"/>
        <v>350.10400000000004</v>
      </c>
      <c r="AS64" s="207">
        <f t="shared" si="6"/>
        <v>350.10400000000004</v>
      </c>
      <c r="AT64" s="207">
        <f t="shared" si="6"/>
        <v>350.10400000000004</v>
      </c>
      <c r="AU64" s="207">
        <f t="shared" si="6"/>
        <v>350.10400000000004</v>
      </c>
      <c r="AV64" s="207">
        <f t="shared" si="6"/>
        <v>350.10400000000004</v>
      </c>
      <c r="AW64" s="207">
        <f t="shared" si="6"/>
        <v>350.10400000000004</v>
      </c>
      <c r="AX64" s="207">
        <f t="shared" ref="AX64:BY64" si="7">AX63*$B$82</f>
        <v>350.10400000000004</v>
      </c>
      <c r="AY64" s="207">
        <f t="shared" si="7"/>
        <v>350.10400000000004</v>
      </c>
      <c r="AZ64" s="207">
        <f t="shared" si="7"/>
        <v>350.10400000000004</v>
      </c>
      <c r="BA64" s="207">
        <f t="shared" si="7"/>
        <v>350.10400000000004</v>
      </c>
      <c r="BB64" s="207">
        <f t="shared" si="7"/>
        <v>0</v>
      </c>
      <c r="BC64" s="207">
        <f t="shared" si="7"/>
        <v>0</v>
      </c>
      <c r="BD64" s="207">
        <f t="shared" si="7"/>
        <v>0</v>
      </c>
      <c r="BE64" s="207">
        <f t="shared" si="7"/>
        <v>0</v>
      </c>
      <c r="BF64" s="207">
        <f t="shared" si="7"/>
        <v>0</v>
      </c>
      <c r="BG64" s="207">
        <f t="shared" si="7"/>
        <v>0</v>
      </c>
      <c r="BH64" s="207">
        <f t="shared" si="7"/>
        <v>0</v>
      </c>
      <c r="BI64" s="207">
        <f t="shared" si="7"/>
        <v>0</v>
      </c>
      <c r="BJ64" s="207">
        <f t="shared" si="7"/>
        <v>0</v>
      </c>
      <c r="BK64" s="207">
        <f t="shared" si="7"/>
        <v>0</v>
      </c>
      <c r="BL64" s="207">
        <f t="shared" si="7"/>
        <v>0</v>
      </c>
      <c r="BM64" s="207">
        <f t="shared" si="7"/>
        <v>0</v>
      </c>
      <c r="BN64" s="207">
        <f t="shared" si="7"/>
        <v>0</v>
      </c>
      <c r="BO64" s="207">
        <f t="shared" si="7"/>
        <v>0</v>
      </c>
      <c r="BP64" s="207">
        <f t="shared" si="7"/>
        <v>0</v>
      </c>
      <c r="BQ64" s="207">
        <f t="shared" si="7"/>
        <v>0</v>
      </c>
      <c r="BR64" s="207">
        <f t="shared" si="7"/>
        <v>0</v>
      </c>
      <c r="BS64" s="207">
        <f t="shared" si="7"/>
        <v>0</v>
      </c>
      <c r="BT64" s="207">
        <f t="shared" si="7"/>
        <v>0</v>
      </c>
      <c r="BU64" s="207">
        <f t="shared" si="7"/>
        <v>0</v>
      </c>
      <c r="BV64" s="207">
        <f t="shared" si="7"/>
        <v>0</v>
      </c>
      <c r="BW64" s="207">
        <f t="shared" si="7"/>
        <v>0</v>
      </c>
      <c r="BX64" s="207">
        <f t="shared" si="7"/>
        <v>0</v>
      </c>
      <c r="BY64" s="207">
        <f t="shared" si="7"/>
        <v>0</v>
      </c>
    </row>
    <row r="65" spans="1:77" s="198" customFormat="1" ht="15" x14ac:dyDescent="0.2">
      <c r="A65" s="239"/>
      <c r="B65" s="200"/>
      <c r="C65" s="200"/>
      <c r="D65" s="201"/>
      <c r="E65" s="201"/>
      <c r="F65" s="201"/>
      <c r="G65" s="201"/>
      <c r="H65" s="205"/>
      <c r="I65" s="237"/>
      <c r="J65" s="204"/>
      <c r="K65" s="201"/>
      <c r="L65" s="201"/>
      <c r="M65" s="201"/>
      <c r="N65" s="240" t="s">
        <v>186</v>
      </c>
      <c r="O65" s="221"/>
      <c r="P65" s="228"/>
      <c r="Q65" s="229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7"/>
      <c r="AP65" s="207"/>
      <c r="AQ65" s="207"/>
      <c r="AR65" s="207"/>
      <c r="AS65" s="207"/>
      <c r="AT65" s="207"/>
      <c r="AU65" s="207"/>
      <c r="AV65" s="207"/>
      <c r="AW65" s="207"/>
      <c r="AX65" s="207"/>
      <c r="AY65" s="207"/>
      <c r="AZ65" s="207"/>
      <c r="BA65" s="207"/>
      <c r="BB65" s="207"/>
      <c r="BC65" s="207"/>
      <c r="BD65" s="207"/>
      <c r="BE65" s="207"/>
      <c r="BF65" s="207"/>
      <c r="BG65" s="207"/>
      <c r="BH65" s="207"/>
      <c r="BI65" s="207"/>
      <c r="BJ65" s="207"/>
      <c r="BK65" s="207"/>
      <c r="BL65" s="207"/>
      <c r="BM65" s="207"/>
      <c r="BN65" s="207"/>
      <c r="BO65" s="207"/>
      <c r="BP65" s="207"/>
      <c r="BQ65" s="207"/>
      <c r="BR65" s="207"/>
      <c r="BS65" s="207"/>
      <c r="BT65" s="207"/>
      <c r="BU65" s="207"/>
      <c r="BV65" s="207"/>
      <c r="BW65" s="207"/>
      <c r="BX65" s="207"/>
      <c r="BY65" s="207"/>
    </row>
    <row r="66" spans="1:77" s="198" customFormat="1" ht="15.75" thickBot="1" x14ac:dyDescent="0.25">
      <c r="A66" s="240"/>
      <c r="B66" s="201"/>
      <c r="C66" s="201"/>
      <c r="D66" s="201"/>
      <c r="E66" s="201"/>
      <c r="F66" s="201"/>
      <c r="G66" s="201"/>
      <c r="H66" s="205"/>
      <c r="I66" s="237"/>
      <c r="J66" s="204"/>
      <c r="K66" s="201"/>
      <c r="L66" s="201"/>
      <c r="M66" s="201"/>
      <c r="N66" s="240" t="s">
        <v>11</v>
      </c>
      <c r="O66" s="221"/>
      <c r="P66" s="230"/>
      <c r="Q66" s="231"/>
      <c r="R66" s="207">
        <f t="shared" ref="R66:AC66" si="8">SUM(R63:R65)</f>
        <v>5764.2000000000007</v>
      </c>
      <c r="S66" s="207">
        <f t="shared" si="8"/>
        <v>1327.3000000000002</v>
      </c>
      <c r="T66" s="207">
        <f t="shared" si="8"/>
        <v>2390.6999999999998</v>
      </c>
      <c r="U66" s="207">
        <f t="shared" si="8"/>
        <v>3454.1</v>
      </c>
      <c r="V66" s="207">
        <f t="shared" si="8"/>
        <v>531.70000000000005</v>
      </c>
      <c r="W66" s="207">
        <f t="shared" si="8"/>
        <v>531.70000000000005</v>
      </c>
      <c r="X66" s="207">
        <f t="shared" si="8"/>
        <v>531.70000000000005</v>
      </c>
      <c r="Y66" s="207">
        <f t="shared" si="8"/>
        <v>531.70000000000005</v>
      </c>
      <c r="Z66" s="207">
        <f t="shared" si="8"/>
        <v>531.70000000000005</v>
      </c>
      <c r="AA66" s="207">
        <f t="shared" si="8"/>
        <v>531.70000000000005</v>
      </c>
      <c r="AB66" s="207">
        <f t="shared" si="8"/>
        <v>531.70000000000005</v>
      </c>
      <c r="AC66" s="207">
        <f t="shared" si="8"/>
        <v>531.70000000000005</v>
      </c>
      <c r="AD66" s="207">
        <f t="shared" ref="AD66" si="9">SUM(AD63:AD65)</f>
        <v>547.65100000000007</v>
      </c>
      <c r="AE66" s="207">
        <f t="shared" ref="AE66" si="10">SUM(AE63:AE65)</f>
        <v>547.65100000000007</v>
      </c>
      <c r="AF66" s="207">
        <f t="shared" ref="AF66" si="11">SUM(AF63:AF65)</f>
        <v>547.65100000000007</v>
      </c>
      <c r="AG66" s="207">
        <f t="shared" ref="AG66" si="12">SUM(AG63:AG65)</f>
        <v>547.65100000000007</v>
      </c>
      <c r="AH66" s="207">
        <f t="shared" ref="AH66" si="13">SUM(AH63:AH65)</f>
        <v>547.65100000000007</v>
      </c>
      <c r="AI66" s="207">
        <f t="shared" ref="AI66" si="14">SUM(AI63:AI65)</f>
        <v>547.65100000000007</v>
      </c>
      <c r="AJ66" s="207">
        <f t="shared" ref="AJ66" si="15">SUM(AJ63:AJ65)</f>
        <v>547.65100000000007</v>
      </c>
      <c r="AK66" s="207">
        <f t="shared" ref="AK66" si="16">SUM(AK63:AK65)</f>
        <v>547.65100000000007</v>
      </c>
      <c r="AL66" s="207">
        <f t="shared" ref="AL66" si="17">SUM(AL63:AL65)</f>
        <v>547.65100000000007</v>
      </c>
      <c r="AM66" s="207">
        <f t="shared" ref="AM66" si="18">SUM(AM63:AM65)</f>
        <v>547.65100000000007</v>
      </c>
      <c r="AN66" s="207">
        <f t="shared" ref="AN66" si="19">SUM(AN63:AN65)</f>
        <v>547.65100000000007</v>
      </c>
      <c r="AO66" s="207">
        <f t="shared" ref="AO66" si="20">SUM(AO63:AO65)</f>
        <v>547.65100000000007</v>
      </c>
      <c r="AP66" s="207">
        <f t="shared" ref="AP66" si="21">SUM(AP63:AP65)</f>
        <v>568.9190000000001</v>
      </c>
      <c r="AQ66" s="207">
        <f t="shared" ref="AQ66" si="22">SUM(AQ63:AQ65)</f>
        <v>568.9190000000001</v>
      </c>
      <c r="AR66" s="207">
        <f t="shared" ref="AR66" si="23">SUM(AR63:AR65)</f>
        <v>568.9190000000001</v>
      </c>
      <c r="AS66" s="207">
        <f t="shared" ref="AS66" si="24">SUM(AS63:AS65)</f>
        <v>568.9190000000001</v>
      </c>
      <c r="AT66" s="207">
        <f t="shared" ref="AT66" si="25">SUM(AT63:AT65)</f>
        <v>568.9190000000001</v>
      </c>
      <c r="AU66" s="207">
        <f t="shared" ref="AU66" si="26">SUM(AU63:AU65)</f>
        <v>568.9190000000001</v>
      </c>
      <c r="AV66" s="207">
        <f t="shared" ref="AV66" si="27">SUM(AV63:AV65)</f>
        <v>568.9190000000001</v>
      </c>
      <c r="AW66" s="207">
        <f t="shared" ref="AW66" si="28">SUM(AW63:AW65)</f>
        <v>568.9190000000001</v>
      </c>
      <c r="AX66" s="207">
        <f t="shared" ref="AX66" si="29">SUM(AX63:AX65)</f>
        <v>568.9190000000001</v>
      </c>
      <c r="AY66" s="207">
        <f t="shared" ref="AY66" si="30">SUM(AY63:AY65)</f>
        <v>568.9190000000001</v>
      </c>
      <c r="AZ66" s="207">
        <f t="shared" ref="AZ66" si="31">SUM(AZ63:AZ65)</f>
        <v>568.9190000000001</v>
      </c>
      <c r="BA66" s="207">
        <f t="shared" ref="BA66" si="32">SUM(BA63:BA65)</f>
        <v>568.9190000000001</v>
      </c>
      <c r="BB66" s="207">
        <f t="shared" ref="BB66" si="33">SUM(BB63:BB65)</f>
        <v>0</v>
      </c>
      <c r="BC66" s="207">
        <f t="shared" ref="BC66" si="34">SUM(BC63:BC65)</f>
        <v>0</v>
      </c>
      <c r="BD66" s="207">
        <f t="shared" ref="BD66" si="35">SUM(BD63:BD65)</f>
        <v>0</v>
      </c>
      <c r="BE66" s="207">
        <f t="shared" ref="BE66" si="36">SUM(BE63:BE65)</f>
        <v>0</v>
      </c>
      <c r="BF66" s="207">
        <f t="shared" ref="BF66" si="37">SUM(BF63:BF65)</f>
        <v>0</v>
      </c>
      <c r="BG66" s="207">
        <f t="shared" ref="BG66" si="38">SUM(BG63:BG65)</f>
        <v>0</v>
      </c>
      <c r="BH66" s="207">
        <f t="shared" ref="BH66" si="39">SUM(BH63:BH65)</f>
        <v>0</v>
      </c>
      <c r="BI66" s="207">
        <f t="shared" ref="BI66" si="40">SUM(BI63:BI65)</f>
        <v>0</v>
      </c>
      <c r="BJ66" s="207">
        <f t="shared" ref="BJ66" si="41">SUM(BJ63:BJ65)</f>
        <v>0</v>
      </c>
      <c r="BK66" s="207">
        <f t="shared" ref="BK66" si="42">SUM(BK63:BK65)</f>
        <v>0</v>
      </c>
      <c r="BL66" s="207">
        <f t="shared" ref="BL66" si="43">SUM(BL63:BL65)</f>
        <v>0</v>
      </c>
      <c r="BM66" s="207">
        <f t="shared" ref="BM66" si="44">SUM(BM63:BM65)</f>
        <v>0</v>
      </c>
      <c r="BN66" s="207">
        <f t="shared" ref="BN66" si="45">SUM(BN63:BN65)</f>
        <v>0</v>
      </c>
      <c r="BO66" s="207">
        <f t="shared" ref="BO66" si="46">SUM(BO63:BO65)</f>
        <v>0</v>
      </c>
      <c r="BP66" s="207">
        <f t="shared" ref="BP66" si="47">SUM(BP63:BP65)</f>
        <v>0</v>
      </c>
      <c r="BQ66" s="207">
        <f t="shared" ref="BQ66" si="48">SUM(BQ63:BQ65)</f>
        <v>0</v>
      </c>
      <c r="BR66" s="207">
        <f t="shared" ref="BR66" si="49">SUM(BR63:BR65)</f>
        <v>0</v>
      </c>
      <c r="BS66" s="207">
        <f t="shared" ref="BS66" si="50">SUM(BS63:BS65)</f>
        <v>0</v>
      </c>
      <c r="BT66" s="207">
        <f t="shared" ref="BT66" si="51">SUM(BT63:BT65)</f>
        <v>0</v>
      </c>
      <c r="BU66" s="207">
        <f t="shared" ref="BU66" si="52">SUM(BU63:BU65)</f>
        <v>0</v>
      </c>
      <c r="BV66" s="207">
        <f t="shared" ref="BV66" si="53">SUM(BV63:BV65)</f>
        <v>0</v>
      </c>
      <c r="BW66" s="207">
        <f t="shared" ref="BW66" si="54">SUM(BW63:BW65)</f>
        <v>0</v>
      </c>
      <c r="BX66" s="207">
        <f t="shared" ref="BX66" si="55">SUM(BX63:BX65)</f>
        <v>0</v>
      </c>
      <c r="BY66" s="207">
        <f t="shared" ref="BY66" si="56">SUM(BY63:BY65)</f>
        <v>0</v>
      </c>
    </row>
    <row r="70" spans="1:77" x14ac:dyDescent="0.2">
      <c r="A70" s="202" t="s">
        <v>182</v>
      </c>
      <c r="B70" s="173" t="s">
        <v>183</v>
      </c>
      <c r="C70" s="173"/>
    </row>
    <row r="71" spans="1:77" x14ac:dyDescent="0.2">
      <c r="A71" s="203">
        <v>1</v>
      </c>
      <c r="B71" s="193">
        <v>112</v>
      </c>
      <c r="C71" s="174"/>
    </row>
    <row r="72" spans="1:77" x14ac:dyDescent="0.2">
      <c r="A72" s="203">
        <v>2</v>
      </c>
      <c r="B72" s="194">
        <v>203</v>
      </c>
      <c r="C72" s="174"/>
    </row>
    <row r="73" spans="1:77" x14ac:dyDescent="0.2">
      <c r="A73" s="203">
        <v>3</v>
      </c>
      <c r="B73" s="194">
        <v>251</v>
      </c>
      <c r="C73" s="174"/>
    </row>
    <row r="74" spans="1:77" x14ac:dyDescent="0.2">
      <c r="A74" s="203">
        <v>4</v>
      </c>
      <c r="B74" s="194">
        <v>321</v>
      </c>
      <c r="C74" s="174"/>
    </row>
    <row r="75" spans="1:77" x14ac:dyDescent="0.2">
      <c r="A75" s="203">
        <v>5</v>
      </c>
      <c r="B75" s="194">
        <v>409</v>
      </c>
      <c r="C75" s="174"/>
    </row>
    <row r="76" spans="1:77" x14ac:dyDescent="0.2">
      <c r="A76" s="203">
        <v>6</v>
      </c>
      <c r="B76" s="194">
        <v>600</v>
      </c>
      <c r="C76" s="174"/>
    </row>
    <row r="77" spans="1:77" x14ac:dyDescent="0.2">
      <c r="A77" s="203">
        <v>7</v>
      </c>
      <c r="B77" s="194">
        <v>918</v>
      </c>
      <c r="C77" s="174"/>
    </row>
    <row r="78" spans="1:77" x14ac:dyDescent="0.2">
      <c r="A78" s="203">
        <v>8</v>
      </c>
      <c r="B78" s="194">
        <v>1278</v>
      </c>
      <c r="C78" s="174"/>
    </row>
    <row r="79" spans="1:77" x14ac:dyDescent="0.2">
      <c r="A79" s="203">
        <v>9</v>
      </c>
      <c r="B79" s="194">
        <v>1831</v>
      </c>
      <c r="C79" s="174"/>
    </row>
    <row r="80" spans="1:77" x14ac:dyDescent="0.2">
      <c r="A80" s="203"/>
      <c r="B80" s="174"/>
      <c r="C80" s="174"/>
    </row>
    <row r="81" spans="1:3" x14ac:dyDescent="0.2">
      <c r="A81" s="203" t="s">
        <v>186</v>
      </c>
      <c r="B81" s="175">
        <v>0</v>
      </c>
      <c r="C81" s="174"/>
    </row>
    <row r="82" spans="1:3" x14ac:dyDescent="0.2">
      <c r="A82" s="202" t="s">
        <v>187</v>
      </c>
      <c r="B82" s="176">
        <v>1.6</v>
      </c>
      <c r="C82" s="173"/>
    </row>
  </sheetData>
  <sheetProtection sort="0"/>
  <mergeCells count="2">
    <mergeCell ref="K10:N10"/>
    <mergeCell ref="A10:I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Aktualizacja">
          <controlPr defaultSize="0" autoLine="0" autoPict="0" r:id="rId4">
            <anchor moveWithCells="1">
              <from>
                <xdr:col>0</xdr:col>
                <xdr:colOff>238125</xdr:colOff>
                <xdr:row>4</xdr:row>
                <xdr:rowOff>104775</xdr:rowOff>
              </from>
              <to>
                <xdr:col>3</xdr:col>
                <xdr:colOff>371475</xdr:colOff>
                <xdr:row>7</xdr:row>
                <xdr:rowOff>47625</xdr:rowOff>
              </to>
            </anchor>
          </controlPr>
        </control>
      </mc:Choice>
      <mc:Fallback>
        <control shapeId="2052" r:id="rId3" name="Aktualizacj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Picklists!$C$2:$C$3</xm:f>
          </x14:formula1>
          <xm:sqref>J12:J62</xm:sqref>
        </x14:dataValidation>
        <x14:dataValidation type="list" allowBlank="1" showInputMessage="1" showErrorMessage="1" xr:uid="{00000000-0002-0000-0100-000001000000}">
          <x14:formula1>
            <xm:f>Resource!$A$2:$A$153</xm:f>
          </x14:formula1>
          <xm:sqref>B13:B41</xm:sqref>
        </x14:dataValidation>
        <x14:dataValidation type="list" allowBlank="1" showInputMessage="1" showErrorMessage="1" xr:uid="{00000000-0002-0000-0100-000002000000}">
          <x14:formula1>
            <xm:f>Resource!$A$2:$A$200</xm:f>
          </x14:formula1>
          <xm:sqref>B12</xm:sqref>
        </x14:dataValidation>
        <x14:dataValidation type="list" allowBlank="1" showInputMessage="1" showErrorMessage="1" xr:uid="{00000000-0002-0000-0100-000003000000}">
          <x14:formula1>
            <xm:f>Picklists!$D$2:$D$4</xm:f>
          </x14:formula1>
          <xm:sqref>G12:G62</xm:sqref>
        </x14:dataValidation>
        <x14:dataValidation type="list" allowBlank="1" showInputMessage="1" showErrorMessage="1" xr:uid="{CE6755AC-DB48-49FA-80E6-5C70DDACDBD1}">
          <x14:formula1>
            <xm:f>Picklists!$A$2:$A$14</xm:f>
          </x14:formula1>
          <xm:sqref>D43:D62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BN64"/>
  <sheetViews>
    <sheetView topLeftCell="A8" zoomScale="80" zoomScaleNormal="80" workbookViewId="0">
      <selection activeCell="D61" sqref="D61"/>
    </sheetView>
  </sheetViews>
  <sheetFormatPr defaultRowHeight="12.75" x14ac:dyDescent="0.2"/>
  <cols>
    <col min="1" max="1" width="7.7109375" style="12" customWidth="1"/>
    <col min="2" max="2" width="4.140625" style="12" bestFit="1" customWidth="1"/>
    <col min="3" max="3" width="28" customWidth="1"/>
    <col min="4" max="4" width="19.7109375" bestFit="1" customWidth="1"/>
    <col min="5" max="65" width="18.7109375" customWidth="1"/>
  </cols>
  <sheetData>
    <row r="1" spans="1:65" ht="20.25" x14ac:dyDescent="0.2">
      <c r="A1" s="13" t="s">
        <v>131</v>
      </c>
      <c r="B1"/>
    </row>
    <row r="2" spans="1:65" ht="9.75" customHeight="1" x14ac:dyDescent="0.2">
      <c r="A2" s="13"/>
      <c r="B2" s="13"/>
    </row>
    <row r="3" spans="1:65" x14ac:dyDescent="0.2">
      <c r="A3" s="287" t="s">
        <v>132</v>
      </c>
      <c r="B3" s="288"/>
      <c r="C3" s="289"/>
      <c r="D3" s="56" t="str">
        <f>Forecast!G4</f>
        <v>POLISH ZŁOTY</v>
      </c>
      <c r="F3" s="10" t="s">
        <v>118</v>
      </c>
      <c r="G3" s="11"/>
      <c r="H3" s="55" t="str">
        <f>Forecast!C2</f>
        <v>Project Name</v>
      </c>
      <c r="J3" t="s">
        <v>4</v>
      </c>
    </row>
    <row r="4" spans="1:65" x14ac:dyDescent="0.2">
      <c r="A4" s="290" t="s">
        <v>0</v>
      </c>
      <c r="B4" s="291"/>
      <c r="C4" s="292"/>
      <c r="D4" s="56" t="str">
        <f>Forecast!G3</f>
        <v>2018-00-00</v>
      </c>
      <c r="F4" s="10" t="s">
        <v>119</v>
      </c>
      <c r="G4" s="11"/>
      <c r="H4" s="55" t="str">
        <f>Forecast!C3</f>
        <v>000000-00</v>
      </c>
      <c r="J4" s="1"/>
      <c r="K4" s="4" t="s">
        <v>1</v>
      </c>
    </row>
    <row r="5" spans="1:65" s="5" customFormat="1" x14ac:dyDescent="0.2">
      <c r="A5" s="57"/>
      <c r="B5" s="57"/>
      <c r="C5" s="57"/>
      <c r="D5" s="7"/>
      <c r="F5" s="7"/>
      <c r="G5" s="7"/>
      <c r="H5" s="51"/>
      <c r="J5" s="2"/>
      <c r="K5" s="4" t="s">
        <v>2</v>
      </c>
    </row>
    <row r="6" spans="1:65" x14ac:dyDescent="0.2"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45"/>
      <c r="BB6" s="145"/>
      <c r="BC6" s="145"/>
      <c r="BD6" s="145"/>
      <c r="BE6" s="145"/>
      <c r="BF6" s="145"/>
      <c r="BG6" s="145"/>
    </row>
    <row r="7" spans="1:65" s="32" customFormat="1" x14ac:dyDescent="0.2">
      <c r="A7" s="15"/>
      <c r="B7" s="15"/>
      <c r="C7" s="8"/>
      <c r="D7" s="52" t="s">
        <v>130</v>
      </c>
      <c r="E7" s="52"/>
      <c r="F7" s="54">
        <f>Forecast!E8</f>
        <v>43282</v>
      </c>
      <c r="G7" s="54">
        <f>Forecast!F8</f>
        <v>43313</v>
      </c>
      <c r="H7" s="54">
        <f>Forecast!G8</f>
        <v>43344</v>
      </c>
      <c r="I7" s="54">
        <f>Forecast!H8</f>
        <v>43374</v>
      </c>
      <c r="J7" s="54">
        <f>Forecast!I8</f>
        <v>43405</v>
      </c>
      <c r="K7" s="54">
        <f>Forecast!J8</f>
        <v>43435</v>
      </c>
      <c r="L7" s="54">
        <f>Forecast!K8</f>
        <v>43466</v>
      </c>
      <c r="M7" s="54">
        <f>Forecast!L8</f>
        <v>43497</v>
      </c>
      <c r="N7" s="54">
        <f>Forecast!M8</f>
        <v>43525</v>
      </c>
      <c r="O7" s="54">
        <f>Forecast!N8</f>
        <v>43556</v>
      </c>
      <c r="P7" s="54">
        <f>Forecast!O8</f>
        <v>43586</v>
      </c>
      <c r="Q7" s="54">
        <f>Forecast!P8</f>
        <v>43617</v>
      </c>
      <c r="R7" s="54">
        <f>Forecast!Q8</f>
        <v>43647</v>
      </c>
      <c r="S7" s="54">
        <f>Forecast!R8</f>
        <v>43678</v>
      </c>
      <c r="T7" s="54">
        <f>Forecast!S8</f>
        <v>43709</v>
      </c>
      <c r="U7" s="54">
        <f>Forecast!T8</f>
        <v>43739</v>
      </c>
      <c r="V7" s="54">
        <f>Forecast!U8</f>
        <v>43770</v>
      </c>
      <c r="W7" s="54">
        <f>Forecast!V8</f>
        <v>43800</v>
      </c>
      <c r="X7" s="54">
        <f>Forecast!W8</f>
        <v>43831</v>
      </c>
      <c r="Y7" s="54">
        <f>Forecast!X8</f>
        <v>43862</v>
      </c>
      <c r="Z7" s="54">
        <f>Forecast!Y8</f>
        <v>43891</v>
      </c>
      <c r="AA7" s="54">
        <f>Forecast!Z8</f>
        <v>43922</v>
      </c>
      <c r="AB7" s="54">
        <f>Forecast!AA8</f>
        <v>43952</v>
      </c>
      <c r="AC7" s="54">
        <f>Forecast!AB8</f>
        <v>43983</v>
      </c>
      <c r="AD7" s="54">
        <f>Forecast!AC8</f>
        <v>44013</v>
      </c>
      <c r="AE7" s="54">
        <f>Forecast!AD8</f>
        <v>44044</v>
      </c>
      <c r="AF7" s="54">
        <f>Forecast!AE8</f>
        <v>44075</v>
      </c>
      <c r="AG7" s="54">
        <f>Forecast!AF8</f>
        <v>44105</v>
      </c>
      <c r="AH7" s="54">
        <f>Forecast!AG8</f>
        <v>44136</v>
      </c>
      <c r="AI7" s="54">
        <f>Forecast!AH8</f>
        <v>44166</v>
      </c>
      <c r="AJ7" s="54">
        <f>Forecast!AI8</f>
        <v>44197</v>
      </c>
      <c r="AK7" s="54">
        <f>Forecast!AJ8</f>
        <v>44228</v>
      </c>
      <c r="AL7" s="54">
        <f>Forecast!AK8</f>
        <v>44256</v>
      </c>
      <c r="AM7" s="54">
        <f>Forecast!AL8</f>
        <v>44287</v>
      </c>
      <c r="AN7" s="54">
        <f>Forecast!AM8</f>
        <v>44317</v>
      </c>
      <c r="AO7" s="54">
        <f>Forecast!AN8</f>
        <v>44348</v>
      </c>
      <c r="AP7" s="54">
        <f>Forecast!AO8</f>
        <v>44378</v>
      </c>
      <c r="AQ7" s="54">
        <f>Forecast!AP8</f>
        <v>44409</v>
      </c>
      <c r="AR7" s="54">
        <f>Forecast!AQ8</f>
        <v>44440</v>
      </c>
      <c r="AS7" s="54">
        <f>Forecast!AR8</f>
        <v>44470</v>
      </c>
      <c r="AT7" s="54">
        <f>Forecast!AS8</f>
        <v>44501</v>
      </c>
      <c r="AU7" s="54">
        <f>Forecast!AT8</f>
        <v>44531</v>
      </c>
      <c r="AV7" s="54">
        <f>Forecast!AU8</f>
        <v>44562</v>
      </c>
      <c r="AW7" s="54">
        <f>Forecast!AV8</f>
        <v>44593</v>
      </c>
      <c r="AX7" s="54">
        <f>Forecast!AW8</f>
        <v>44621</v>
      </c>
      <c r="AY7" s="54">
        <f>Forecast!AX8</f>
        <v>44652</v>
      </c>
      <c r="AZ7" s="54">
        <f>Forecast!AY8</f>
        <v>44682</v>
      </c>
      <c r="BA7" s="54">
        <f>Forecast!AZ8</f>
        <v>44713</v>
      </c>
      <c r="BB7" s="54">
        <f>Forecast!BA8</f>
        <v>44743</v>
      </c>
      <c r="BC7" s="54">
        <f>Forecast!BB8</f>
        <v>44774</v>
      </c>
      <c r="BD7" s="54">
        <f>Forecast!BC8</f>
        <v>44805</v>
      </c>
      <c r="BE7" s="54">
        <f>Forecast!BD8</f>
        <v>44835</v>
      </c>
      <c r="BF7" s="54">
        <f>Forecast!BE8</f>
        <v>44866</v>
      </c>
      <c r="BG7" s="54">
        <f>Forecast!BF8</f>
        <v>44896</v>
      </c>
      <c r="BH7" s="54">
        <f>Forecast!BG8</f>
        <v>44927</v>
      </c>
      <c r="BI7" s="54">
        <f>Forecast!BH8</f>
        <v>44958</v>
      </c>
      <c r="BJ7" s="54">
        <f>Forecast!BI8</f>
        <v>44986</v>
      </c>
      <c r="BK7" s="54">
        <f>Forecast!BJ8</f>
        <v>45017</v>
      </c>
      <c r="BL7" s="54">
        <f>Forecast!BK8</f>
        <v>45047</v>
      </c>
      <c r="BM7" s="54">
        <f>Forecast!BL8</f>
        <v>45078</v>
      </c>
    </row>
    <row r="8" spans="1:65" s="32" customFormat="1" ht="13.5" thickBot="1" x14ac:dyDescent="0.25">
      <c r="A8" s="17"/>
      <c r="B8" s="17" t="s">
        <v>98</v>
      </c>
      <c r="C8" s="17" t="s">
        <v>116</v>
      </c>
      <c r="D8" s="17" t="s">
        <v>5</v>
      </c>
      <c r="E8" s="17" t="s">
        <v>96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24</v>
      </c>
      <c r="P8" s="17" t="s">
        <v>25</v>
      </c>
      <c r="Q8" s="17" t="s">
        <v>26</v>
      </c>
      <c r="R8" s="17" t="s">
        <v>27</v>
      </c>
      <c r="S8" s="17" t="s">
        <v>28</v>
      </c>
      <c r="T8" s="17" t="s">
        <v>29</v>
      </c>
      <c r="U8" s="17" t="s">
        <v>30</v>
      </c>
      <c r="V8" s="17" t="s">
        <v>31</v>
      </c>
      <c r="W8" s="17" t="s">
        <v>32</v>
      </c>
      <c r="X8" s="17" t="s">
        <v>33</v>
      </c>
      <c r="Y8" s="17" t="s">
        <v>34</v>
      </c>
      <c r="Z8" s="17" t="s">
        <v>35</v>
      </c>
      <c r="AA8" s="17" t="s">
        <v>36</v>
      </c>
      <c r="AB8" s="17" t="s">
        <v>37</v>
      </c>
      <c r="AC8" s="17" t="s">
        <v>38</v>
      </c>
      <c r="AD8" s="17" t="s">
        <v>39</v>
      </c>
      <c r="AE8" s="17" t="s">
        <v>40</v>
      </c>
      <c r="AF8" s="17" t="s">
        <v>41</v>
      </c>
      <c r="AG8" s="17" t="s">
        <v>42</v>
      </c>
      <c r="AH8" s="17" t="s">
        <v>43</v>
      </c>
      <c r="AI8" s="17" t="s">
        <v>44</v>
      </c>
      <c r="AJ8" s="17" t="s">
        <v>45</v>
      </c>
      <c r="AK8" s="17" t="s">
        <v>46</v>
      </c>
      <c r="AL8" s="17" t="s">
        <v>47</v>
      </c>
      <c r="AM8" s="17" t="s">
        <v>48</v>
      </c>
      <c r="AN8" s="17" t="s">
        <v>49</v>
      </c>
      <c r="AO8" s="17" t="s">
        <v>50</v>
      </c>
      <c r="AP8" s="17" t="s">
        <v>51</v>
      </c>
      <c r="AQ8" s="17" t="s">
        <v>52</v>
      </c>
      <c r="AR8" s="17" t="s">
        <v>53</v>
      </c>
      <c r="AS8" s="17" t="s">
        <v>54</v>
      </c>
      <c r="AT8" s="17" t="s">
        <v>55</v>
      </c>
      <c r="AU8" s="17" t="s">
        <v>56</v>
      </c>
      <c r="AV8" s="17" t="s">
        <v>57</v>
      </c>
      <c r="AW8" s="17" t="s">
        <v>58</v>
      </c>
      <c r="AX8" s="17" t="s">
        <v>59</v>
      </c>
      <c r="AY8" s="17" t="s">
        <v>60</v>
      </c>
      <c r="AZ8" s="17" t="s">
        <v>61</v>
      </c>
      <c r="BA8" s="17" t="s">
        <v>62</v>
      </c>
      <c r="BB8" s="17" t="s">
        <v>63</v>
      </c>
      <c r="BC8" s="17" t="s">
        <v>64</v>
      </c>
      <c r="BD8" s="17" t="s">
        <v>65</v>
      </c>
      <c r="BE8" s="17" t="s">
        <v>66</v>
      </c>
      <c r="BF8" s="17" t="s">
        <v>67</v>
      </c>
      <c r="BG8" s="17" t="s">
        <v>68</v>
      </c>
      <c r="BH8" s="17" t="s">
        <v>69</v>
      </c>
      <c r="BI8" s="17" t="s">
        <v>70</v>
      </c>
      <c r="BJ8" s="17" t="s">
        <v>71</v>
      </c>
      <c r="BK8" s="17" t="s">
        <v>72</v>
      </c>
      <c r="BL8" s="17" t="s">
        <v>73</v>
      </c>
      <c r="BM8" s="17" t="s">
        <v>74</v>
      </c>
    </row>
    <row r="9" spans="1:65" s="32" customFormat="1" ht="12.75" customHeight="1" x14ac:dyDescent="0.2">
      <c r="A9" s="293" t="s">
        <v>112</v>
      </c>
      <c r="B9" s="18">
        <v>1</v>
      </c>
      <c r="C9" s="144" t="s">
        <v>146</v>
      </c>
      <c r="D9" s="64">
        <f>SUM(F9:BM9)</f>
        <v>0</v>
      </c>
      <c r="E9" s="149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20"/>
    </row>
    <row r="10" spans="1:65" s="32" customFormat="1" x14ac:dyDescent="0.2">
      <c r="A10" s="294"/>
      <c r="B10" s="15">
        <v>2</v>
      </c>
      <c r="C10" s="144" t="s">
        <v>147</v>
      </c>
      <c r="D10" s="65">
        <f t="shared" ref="D10:D18" si="0">SUM(F10:BM10)</f>
        <v>0</v>
      </c>
      <c r="E10" s="148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21"/>
    </row>
    <row r="11" spans="1:65" s="32" customFormat="1" x14ac:dyDescent="0.2">
      <c r="A11" s="294"/>
      <c r="B11" s="15">
        <v>3</v>
      </c>
      <c r="C11" s="144" t="s">
        <v>148</v>
      </c>
      <c r="D11" s="65">
        <f t="shared" si="0"/>
        <v>0</v>
      </c>
      <c r="E11" s="148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21"/>
    </row>
    <row r="12" spans="1:65" s="32" customFormat="1" x14ac:dyDescent="0.2">
      <c r="A12" s="294"/>
      <c r="B12" s="15">
        <v>4</v>
      </c>
      <c r="C12" s="144" t="s">
        <v>149</v>
      </c>
      <c r="D12" s="65">
        <f t="shared" si="0"/>
        <v>0</v>
      </c>
      <c r="E12" s="148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21"/>
    </row>
    <row r="13" spans="1:65" s="32" customFormat="1" x14ac:dyDescent="0.2">
      <c r="A13" s="294"/>
      <c r="B13" s="15">
        <v>5</v>
      </c>
      <c r="C13" s="144" t="s">
        <v>150</v>
      </c>
      <c r="D13" s="65">
        <f t="shared" si="0"/>
        <v>0</v>
      </c>
      <c r="E13" s="148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21"/>
    </row>
    <row r="14" spans="1:65" s="32" customFormat="1" x14ac:dyDescent="0.2">
      <c r="A14" s="294"/>
      <c r="B14" s="15">
        <v>6</v>
      </c>
      <c r="C14" s="144" t="s">
        <v>151</v>
      </c>
      <c r="D14" s="65">
        <f t="shared" si="0"/>
        <v>0</v>
      </c>
      <c r="E14" s="148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21"/>
    </row>
    <row r="15" spans="1:65" s="32" customFormat="1" x14ac:dyDescent="0.2">
      <c r="A15" s="294"/>
      <c r="B15" s="15">
        <v>7</v>
      </c>
      <c r="C15" s="144" t="s">
        <v>152</v>
      </c>
      <c r="D15" s="65">
        <f t="shared" si="0"/>
        <v>0</v>
      </c>
      <c r="E15" s="148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21"/>
    </row>
    <row r="16" spans="1:65" s="32" customFormat="1" x14ac:dyDescent="0.2">
      <c r="A16" s="294"/>
      <c r="B16" s="15">
        <v>8</v>
      </c>
      <c r="C16" s="144" t="s">
        <v>100</v>
      </c>
      <c r="D16" s="65">
        <f t="shared" si="0"/>
        <v>0</v>
      </c>
      <c r="E16" s="148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21"/>
    </row>
    <row r="17" spans="1:65" s="32" customFormat="1" x14ac:dyDescent="0.2">
      <c r="A17" s="294"/>
      <c r="B17" s="15">
        <v>9</v>
      </c>
      <c r="C17" s="144" t="s">
        <v>101</v>
      </c>
      <c r="D17" s="65">
        <f t="shared" si="0"/>
        <v>0</v>
      </c>
      <c r="E17" s="148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21"/>
    </row>
    <row r="18" spans="1:65" s="32" customFormat="1" x14ac:dyDescent="0.2">
      <c r="A18" s="294"/>
      <c r="B18" s="15">
        <v>10</v>
      </c>
      <c r="C18" s="144" t="s">
        <v>102</v>
      </c>
      <c r="D18" s="65">
        <f t="shared" si="0"/>
        <v>0</v>
      </c>
      <c r="E18" s="148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21"/>
    </row>
    <row r="19" spans="1:65" s="32" customFormat="1" ht="13.5" thickBot="1" x14ac:dyDescent="0.25">
      <c r="A19" s="295"/>
      <c r="B19" s="22">
        <v>11</v>
      </c>
      <c r="C19" s="67" t="s">
        <v>99</v>
      </c>
      <c r="D19" s="68">
        <f>SUM(D9:D18)</f>
        <v>0</v>
      </c>
      <c r="E19" s="69"/>
      <c r="F19" s="70">
        <f>SUM(F9:F18)</f>
        <v>0</v>
      </c>
      <c r="G19" s="70">
        <f t="shared" ref="G19:BL19" si="1">SUM(G9:G18)</f>
        <v>0</v>
      </c>
      <c r="H19" s="70">
        <f t="shared" si="1"/>
        <v>0</v>
      </c>
      <c r="I19" s="70">
        <f t="shared" si="1"/>
        <v>0</v>
      </c>
      <c r="J19" s="70">
        <f t="shared" si="1"/>
        <v>0</v>
      </c>
      <c r="K19" s="70">
        <f t="shared" si="1"/>
        <v>0</v>
      </c>
      <c r="L19" s="70">
        <f t="shared" si="1"/>
        <v>0</v>
      </c>
      <c r="M19" s="70">
        <f t="shared" si="1"/>
        <v>0</v>
      </c>
      <c r="N19" s="70">
        <f t="shared" si="1"/>
        <v>0</v>
      </c>
      <c r="O19" s="70">
        <f t="shared" si="1"/>
        <v>0</v>
      </c>
      <c r="P19" s="70">
        <f t="shared" si="1"/>
        <v>0</v>
      </c>
      <c r="Q19" s="70">
        <f t="shared" si="1"/>
        <v>0</v>
      </c>
      <c r="R19" s="70">
        <f t="shared" si="1"/>
        <v>0</v>
      </c>
      <c r="S19" s="70">
        <f t="shared" si="1"/>
        <v>0</v>
      </c>
      <c r="T19" s="70">
        <f t="shared" si="1"/>
        <v>0</v>
      </c>
      <c r="U19" s="70">
        <f t="shared" si="1"/>
        <v>0</v>
      </c>
      <c r="V19" s="70">
        <f t="shared" si="1"/>
        <v>0</v>
      </c>
      <c r="W19" s="70">
        <f t="shared" si="1"/>
        <v>0</v>
      </c>
      <c r="X19" s="70">
        <f t="shared" si="1"/>
        <v>0</v>
      </c>
      <c r="Y19" s="70">
        <f t="shared" si="1"/>
        <v>0</v>
      </c>
      <c r="Z19" s="70">
        <f t="shared" si="1"/>
        <v>0</v>
      </c>
      <c r="AA19" s="70">
        <f t="shared" si="1"/>
        <v>0</v>
      </c>
      <c r="AB19" s="70">
        <f t="shared" si="1"/>
        <v>0</v>
      </c>
      <c r="AC19" s="70">
        <f t="shared" si="1"/>
        <v>0</v>
      </c>
      <c r="AD19" s="70">
        <f t="shared" si="1"/>
        <v>0</v>
      </c>
      <c r="AE19" s="70">
        <f t="shared" si="1"/>
        <v>0</v>
      </c>
      <c r="AF19" s="70">
        <f t="shared" si="1"/>
        <v>0</v>
      </c>
      <c r="AG19" s="70">
        <f t="shared" si="1"/>
        <v>0</v>
      </c>
      <c r="AH19" s="70">
        <f t="shared" si="1"/>
        <v>0</v>
      </c>
      <c r="AI19" s="70">
        <f t="shared" si="1"/>
        <v>0</v>
      </c>
      <c r="AJ19" s="70">
        <f t="shared" si="1"/>
        <v>0</v>
      </c>
      <c r="AK19" s="70">
        <f t="shared" si="1"/>
        <v>0</v>
      </c>
      <c r="AL19" s="70">
        <f t="shared" si="1"/>
        <v>0</v>
      </c>
      <c r="AM19" s="70">
        <f t="shared" si="1"/>
        <v>0</v>
      </c>
      <c r="AN19" s="70">
        <f t="shared" si="1"/>
        <v>0</v>
      </c>
      <c r="AO19" s="70">
        <f t="shared" si="1"/>
        <v>0</v>
      </c>
      <c r="AP19" s="70">
        <f t="shared" si="1"/>
        <v>0</v>
      </c>
      <c r="AQ19" s="70">
        <f t="shared" si="1"/>
        <v>0</v>
      </c>
      <c r="AR19" s="70">
        <f t="shared" si="1"/>
        <v>0</v>
      </c>
      <c r="AS19" s="70">
        <f t="shared" si="1"/>
        <v>0</v>
      </c>
      <c r="AT19" s="70">
        <f t="shared" si="1"/>
        <v>0</v>
      </c>
      <c r="AU19" s="70">
        <f t="shared" si="1"/>
        <v>0</v>
      </c>
      <c r="AV19" s="70">
        <f t="shared" si="1"/>
        <v>0</v>
      </c>
      <c r="AW19" s="70">
        <f t="shared" si="1"/>
        <v>0</v>
      </c>
      <c r="AX19" s="70">
        <f t="shared" si="1"/>
        <v>0</v>
      </c>
      <c r="AY19" s="70">
        <f t="shared" si="1"/>
        <v>0</v>
      </c>
      <c r="AZ19" s="70">
        <f t="shared" si="1"/>
        <v>0</v>
      </c>
      <c r="BA19" s="70">
        <f t="shared" si="1"/>
        <v>0</v>
      </c>
      <c r="BB19" s="70">
        <f t="shared" si="1"/>
        <v>0</v>
      </c>
      <c r="BC19" s="70">
        <f t="shared" si="1"/>
        <v>0</v>
      </c>
      <c r="BD19" s="70">
        <f t="shared" si="1"/>
        <v>0</v>
      </c>
      <c r="BE19" s="70">
        <f t="shared" si="1"/>
        <v>0</v>
      </c>
      <c r="BF19" s="70">
        <f t="shared" si="1"/>
        <v>0</v>
      </c>
      <c r="BG19" s="70">
        <f t="shared" si="1"/>
        <v>0</v>
      </c>
      <c r="BH19" s="70">
        <f t="shared" si="1"/>
        <v>0</v>
      </c>
      <c r="BI19" s="70">
        <f t="shared" si="1"/>
        <v>0</v>
      </c>
      <c r="BJ19" s="70">
        <f t="shared" si="1"/>
        <v>0</v>
      </c>
      <c r="BK19" s="70">
        <f t="shared" si="1"/>
        <v>0</v>
      </c>
      <c r="BL19" s="70">
        <f t="shared" si="1"/>
        <v>0</v>
      </c>
      <c r="BM19" s="24">
        <f>SUM(BM9:BM18)</f>
        <v>0</v>
      </c>
    </row>
    <row r="20" spans="1:65" s="32" customFormat="1" ht="12.75" customHeight="1" x14ac:dyDescent="0.2">
      <c r="A20" s="293" t="s">
        <v>115</v>
      </c>
      <c r="B20" s="18">
        <v>12</v>
      </c>
      <c r="C20" s="71" t="s">
        <v>103</v>
      </c>
      <c r="D20" s="64">
        <f>SUM(F20:BM20)</f>
        <v>0</v>
      </c>
      <c r="E20" s="66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/>
    </row>
    <row r="21" spans="1:65" s="32" customFormat="1" x14ac:dyDescent="0.2">
      <c r="A21" s="294"/>
      <c r="B21" s="15">
        <v>13</v>
      </c>
      <c r="C21" s="63" t="s">
        <v>104</v>
      </c>
      <c r="D21" s="65">
        <f>SUM(F21:BM21)</f>
        <v>0</v>
      </c>
      <c r="E21" s="53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21"/>
    </row>
    <row r="22" spans="1:65" s="32" customFormat="1" x14ac:dyDescent="0.2">
      <c r="A22" s="294"/>
      <c r="B22" s="15">
        <v>14</v>
      </c>
      <c r="C22" s="63" t="s">
        <v>105</v>
      </c>
      <c r="D22" s="65">
        <f>SUM(F22:BM22)</f>
        <v>0</v>
      </c>
      <c r="E22" s="53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21"/>
    </row>
    <row r="23" spans="1:65" s="32" customFormat="1" x14ac:dyDescent="0.2">
      <c r="A23" s="294"/>
      <c r="B23" s="15">
        <v>15</v>
      </c>
      <c r="C23" s="63" t="s">
        <v>113</v>
      </c>
      <c r="D23" s="65">
        <f>SUM(F23:BM23)</f>
        <v>0</v>
      </c>
      <c r="E23" s="53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21"/>
    </row>
    <row r="24" spans="1:65" s="32" customFormat="1" x14ac:dyDescent="0.2">
      <c r="A24" s="294"/>
      <c r="B24" s="15">
        <v>16</v>
      </c>
      <c r="C24" s="63" t="s">
        <v>114</v>
      </c>
      <c r="D24" s="65">
        <f>SUM(F24:BM24)</f>
        <v>0</v>
      </c>
      <c r="E24" s="53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21"/>
    </row>
    <row r="25" spans="1:65" s="32" customFormat="1" ht="13.5" thickBot="1" x14ac:dyDescent="0.25">
      <c r="A25" s="295"/>
      <c r="B25" s="22">
        <v>17</v>
      </c>
      <c r="C25" s="67" t="s">
        <v>106</v>
      </c>
      <c r="D25" s="68">
        <f>SUM(D20:D24)</f>
        <v>0</v>
      </c>
      <c r="E25" s="69"/>
      <c r="F25" s="70">
        <f>SUM(F20:F24)</f>
        <v>0</v>
      </c>
      <c r="G25" s="70">
        <f t="shared" ref="G25:BM25" si="2">SUM(G20:G24)</f>
        <v>0</v>
      </c>
      <c r="H25" s="70">
        <f t="shared" si="2"/>
        <v>0</v>
      </c>
      <c r="I25" s="70">
        <f t="shared" si="2"/>
        <v>0</v>
      </c>
      <c r="J25" s="70">
        <f t="shared" si="2"/>
        <v>0</v>
      </c>
      <c r="K25" s="70">
        <f t="shared" si="2"/>
        <v>0</v>
      </c>
      <c r="L25" s="70">
        <f t="shared" si="2"/>
        <v>0</v>
      </c>
      <c r="M25" s="70">
        <f t="shared" si="2"/>
        <v>0</v>
      </c>
      <c r="N25" s="70">
        <f t="shared" si="2"/>
        <v>0</v>
      </c>
      <c r="O25" s="70">
        <f t="shared" si="2"/>
        <v>0</v>
      </c>
      <c r="P25" s="70">
        <f t="shared" si="2"/>
        <v>0</v>
      </c>
      <c r="Q25" s="70">
        <f t="shared" si="2"/>
        <v>0</v>
      </c>
      <c r="R25" s="70">
        <f t="shared" si="2"/>
        <v>0</v>
      </c>
      <c r="S25" s="70">
        <f t="shared" si="2"/>
        <v>0</v>
      </c>
      <c r="T25" s="70">
        <f t="shared" si="2"/>
        <v>0</v>
      </c>
      <c r="U25" s="70">
        <f t="shared" si="2"/>
        <v>0</v>
      </c>
      <c r="V25" s="70">
        <f t="shared" si="2"/>
        <v>0</v>
      </c>
      <c r="W25" s="70">
        <f t="shared" si="2"/>
        <v>0</v>
      </c>
      <c r="X25" s="70">
        <f t="shared" si="2"/>
        <v>0</v>
      </c>
      <c r="Y25" s="70">
        <f t="shared" si="2"/>
        <v>0</v>
      </c>
      <c r="Z25" s="70">
        <f t="shared" si="2"/>
        <v>0</v>
      </c>
      <c r="AA25" s="70">
        <f t="shared" si="2"/>
        <v>0</v>
      </c>
      <c r="AB25" s="70">
        <f t="shared" si="2"/>
        <v>0</v>
      </c>
      <c r="AC25" s="70">
        <f t="shared" si="2"/>
        <v>0</v>
      </c>
      <c r="AD25" s="70">
        <f t="shared" si="2"/>
        <v>0</v>
      </c>
      <c r="AE25" s="70">
        <f t="shared" si="2"/>
        <v>0</v>
      </c>
      <c r="AF25" s="70">
        <f t="shared" si="2"/>
        <v>0</v>
      </c>
      <c r="AG25" s="70">
        <f t="shared" si="2"/>
        <v>0</v>
      </c>
      <c r="AH25" s="70">
        <f t="shared" si="2"/>
        <v>0</v>
      </c>
      <c r="AI25" s="70">
        <f t="shared" si="2"/>
        <v>0</v>
      </c>
      <c r="AJ25" s="70">
        <f t="shared" si="2"/>
        <v>0</v>
      </c>
      <c r="AK25" s="70">
        <f t="shared" si="2"/>
        <v>0</v>
      </c>
      <c r="AL25" s="70">
        <f t="shared" si="2"/>
        <v>0</v>
      </c>
      <c r="AM25" s="70">
        <f t="shared" si="2"/>
        <v>0</v>
      </c>
      <c r="AN25" s="70">
        <f t="shared" si="2"/>
        <v>0</v>
      </c>
      <c r="AO25" s="70">
        <f t="shared" si="2"/>
        <v>0</v>
      </c>
      <c r="AP25" s="70">
        <f t="shared" si="2"/>
        <v>0</v>
      </c>
      <c r="AQ25" s="70">
        <f t="shared" si="2"/>
        <v>0</v>
      </c>
      <c r="AR25" s="70">
        <f t="shared" si="2"/>
        <v>0</v>
      </c>
      <c r="AS25" s="70">
        <f t="shared" si="2"/>
        <v>0</v>
      </c>
      <c r="AT25" s="70">
        <f t="shared" si="2"/>
        <v>0</v>
      </c>
      <c r="AU25" s="70">
        <f t="shared" si="2"/>
        <v>0</v>
      </c>
      <c r="AV25" s="70">
        <f t="shared" si="2"/>
        <v>0</v>
      </c>
      <c r="AW25" s="70">
        <f t="shared" si="2"/>
        <v>0</v>
      </c>
      <c r="AX25" s="70">
        <f t="shared" si="2"/>
        <v>0</v>
      </c>
      <c r="AY25" s="70">
        <f t="shared" si="2"/>
        <v>0</v>
      </c>
      <c r="AZ25" s="70">
        <f t="shared" si="2"/>
        <v>0</v>
      </c>
      <c r="BA25" s="70">
        <f t="shared" si="2"/>
        <v>0</v>
      </c>
      <c r="BB25" s="70">
        <f t="shared" si="2"/>
        <v>0</v>
      </c>
      <c r="BC25" s="70">
        <f t="shared" si="2"/>
        <v>0</v>
      </c>
      <c r="BD25" s="70">
        <f t="shared" si="2"/>
        <v>0</v>
      </c>
      <c r="BE25" s="70">
        <f t="shared" si="2"/>
        <v>0</v>
      </c>
      <c r="BF25" s="70">
        <f t="shared" si="2"/>
        <v>0</v>
      </c>
      <c r="BG25" s="70">
        <f t="shared" si="2"/>
        <v>0</v>
      </c>
      <c r="BH25" s="70">
        <f t="shared" si="2"/>
        <v>0</v>
      </c>
      <c r="BI25" s="70">
        <f t="shared" si="2"/>
        <v>0</v>
      </c>
      <c r="BJ25" s="70">
        <f t="shared" si="2"/>
        <v>0</v>
      </c>
      <c r="BK25" s="70">
        <f t="shared" si="2"/>
        <v>0</v>
      </c>
      <c r="BL25" s="70">
        <f t="shared" si="2"/>
        <v>0</v>
      </c>
      <c r="BM25" s="24">
        <f t="shared" si="2"/>
        <v>0</v>
      </c>
    </row>
    <row r="26" spans="1:65" s="32" customFormat="1" x14ac:dyDescent="0.2">
      <c r="A26" s="284" t="s">
        <v>108</v>
      </c>
      <c r="B26" s="18">
        <v>18</v>
      </c>
      <c r="C26" s="9" t="s">
        <v>75</v>
      </c>
      <c r="D26" s="64">
        <f>SUM(F26:BM26)</f>
        <v>0</v>
      </c>
      <c r="E26" s="66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20"/>
    </row>
    <row r="27" spans="1:65" s="32" customFormat="1" x14ac:dyDescent="0.2">
      <c r="A27" s="285"/>
      <c r="B27" s="15">
        <v>19</v>
      </c>
      <c r="C27" s="41" t="s">
        <v>77</v>
      </c>
      <c r="D27" s="65">
        <f t="shared" ref="D27:D37" si="3">SUM(F27:BM27)</f>
        <v>0</v>
      </c>
      <c r="E27" s="5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21"/>
    </row>
    <row r="28" spans="1:65" s="32" customFormat="1" x14ac:dyDescent="0.2">
      <c r="A28" s="285"/>
      <c r="B28" s="15">
        <v>20</v>
      </c>
      <c r="C28" s="41" t="s">
        <v>107</v>
      </c>
      <c r="D28" s="65">
        <f t="shared" si="3"/>
        <v>0</v>
      </c>
      <c r="E28" s="53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21"/>
    </row>
    <row r="29" spans="1:65" s="32" customFormat="1" x14ac:dyDescent="0.2">
      <c r="A29" s="285"/>
      <c r="B29" s="15">
        <v>21</v>
      </c>
      <c r="C29" s="41" t="s">
        <v>83</v>
      </c>
      <c r="D29" s="65">
        <f t="shared" si="3"/>
        <v>0</v>
      </c>
      <c r="E29" s="53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21"/>
    </row>
    <row r="30" spans="1:65" s="32" customFormat="1" x14ac:dyDescent="0.2">
      <c r="A30" s="285"/>
      <c r="B30" s="15">
        <v>22</v>
      </c>
      <c r="C30" s="41" t="s">
        <v>84</v>
      </c>
      <c r="D30" s="65">
        <f t="shared" si="3"/>
        <v>0</v>
      </c>
      <c r="E30" s="53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21"/>
    </row>
    <row r="31" spans="1:65" s="32" customFormat="1" x14ac:dyDescent="0.2">
      <c r="A31" s="285"/>
      <c r="B31" s="15">
        <v>23</v>
      </c>
      <c r="C31" s="41" t="s">
        <v>87</v>
      </c>
      <c r="D31" s="65">
        <f t="shared" si="3"/>
        <v>0</v>
      </c>
      <c r="E31" s="53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21"/>
    </row>
    <row r="32" spans="1:65" s="32" customFormat="1" x14ac:dyDescent="0.2">
      <c r="A32" s="285"/>
      <c r="B32" s="15">
        <v>24</v>
      </c>
      <c r="C32" s="41" t="s">
        <v>90</v>
      </c>
      <c r="D32" s="65">
        <f t="shared" si="3"/>
        <v>0</v>
      </c>
      <c r="E32" s="53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21"/>
    </row>
    <row r="33" spans="1:65" s="32" customFormat="1" x14ac:dyDescent="0.2">
      <c r="A33" s="285"/>
      <c r="B33" s="15">
        <v>25</v>
      </c>
      <c r="C33" s="41" t="s">
        <v>94</v>
      </c>
      <c r="D33" s="65">
        <f t="shared" si="3"/>
        <v>0</v>
      </c>
      <c r="E33" s="53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21"/>
    </row>
    <row r="34" spans="1:65" s="32" customFormat="1" x14ac:dyDescent="0.2">
      <c r="A34" s="285"/>
      <c r="B34" s="15">
        <v>26</v>
      </c>
      <c r="C34" s="41" t="s">
        <v>95</v>
      </c>
      <c r="D34" s="65">
        <f t="shared" si="3"/>
        <v>0</v>
      </c>
      <c r="E34" s="53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21"/>
    </row>
    <row r="35" spans="1:65" s="32" customFormat="1" x14ac:dyDescent="0.2">
      <c r="A35" s="285"/>
      <c r="B35" s="15">
        <v>27</v>
      </c>
      <c r="C35" s="41" t="s">
        <v>95</v>
      </c>
      <c r="D35" s="65">
        <f t="shared" si="3"/>
        <v>0</v>
      </c>
      <c r="E35" s="53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21"/>
    </row>
    <row r="36" spans="1:65" s="32" customFormat="1" x14ac:dyDescent="0.2">
      <c r="A36" s="285"/>
      <c r="B36" s="15">
        <v>28</v>
      </c>
      <c r="C36" s="41" t="s">
        <v>95</v>
      </c>
      <c r="D36" s="65">
        <f t="shared" si="3"/>
        <v>0</v>
      </c>
      <c r="E36" s="53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21"/>
    </row>
    <row r="37" spans="1:65" s="32" customFormat="1" x14ac:dyDescent="0.2">
      <c r="A37" s="285"/>
      <c r="B37" s="15">
        <v>29</v>
      </c>
      <c r="C37" s="41" t="s">
        <v>95</v>
      </c>
      <c r="D37" s="65">
        <f t="shared" si="3"/>
        <v>0</v>
      </c>
      <c r="E37" s="53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21"/>
    </row>
    <row r="38" spans="1:65" s="32" customFormat="1" ht="13.5" thickBot="1" x14ac:dyDescent="0.25">
      <c r="A38" s="286"/>
      <c r="B38" s="22">
        <v>30</v>
      </c>
      <c r="C38" s="67" t="s">
        <v>110</v>
      </c>
      <c r="D38" s="68">
        <f>SUM(D26:D37)</f>
        <v>0</v>
      </c>
      <c r="E38" s="69"/>
      <c r="F38" s="70">
        <f>SUM(F26:F37)</f>
        <v>0</v>
      </c>
      <c r="G38" s="70">
        <f t="shared" ref="G38:BM38" si="4">SUM(G26:G37)</f>
        <v>0</v>
      </c>
      <c r="H38" s="70">
        <f t="shared" si="4"/>
        <v>0</v>
      </c>
      <c r="I38" s="70">
        <f t="shared" si="4"/>
        <v>0</v>
      </c>
      <c r="J38" s="70">
        <f t="shared" si="4"/>
        <v>0</v>
      </c>
      <c r="K38" s="70">
        <f t="shared" si="4"/>
        <v>0</v>
      </c>
      <c r="L38" s="70">
        <f t="shared" si="4"/>
        <v>0</v>
      </c>
      <c r="M38" s="70">
        <f t="shared" si="4"/>
        <v>0</v>
      </c>
      <c r="N38" s="70">
        <f t="shared" si="4"/>
        <v>0</v>
      </c>
      <c r="O38" s="70">
        <f t="shared" si="4"/>
        <v>0</v>
      </c>
      <c r="P38" s="70">
        <f t="shared" si="4"/>
        <v>0</v>
      </c>
      <c r="Q38" s="70">
        <f t="shared" si="4"/>
        <v>0</v>
      </c>
      <c r="R38" s="70">
        <f t="shared" si="4"/>
        <v>0</v>
      </c>
      <c r="S38" s="70">
        <f t="shared" si="4"/>
        <v>0</v>
      </c>
      <c r="T38" s="70">
        <f t="shared" si="4"/>
        <v>0</v>
      </c>
      <c r="U38" s="70">
        <f t="shared" si="4"/>
        <v>0</v>
      </c>
      <c r="V38" s="70">
        <f t="shared" si="4"/>
        <v>0</v>
      </c>
      <c r="W38" s="70">
        <f t="shared" si="4"/>
        <v>0</v>
      </c>
      <c r="X38" s="70">
        <f t="shared" si="4"/>
        <v>0</v>
      </c>
      <c r="Y38" s="70">
        <f t="shared" si="4"/>
        <v>0</v>
      </c>
      <c r="Z38" s="70">
        <f t="shared" si="4"/>
        <v>0</v>
      </c>
      <c r="AA38" s="70">
        <f t="shared" si="4"/>
        <v>0</v>
      </c>
      <c r="AB38" s="70">
        <f t="shared" si="4"/>
        <v>0</v>
      </c>
      <c r="AC38" s="70">
        <f t="shared" si="4"/>
        <v>0</v>
      </c>
      <c r="AD38" s="70">
        <f t="shared" si="4"/>
        <v>0</v>
      </c>
      <c r="AE38" s="70">
        <f t="shared" si="4"/>
        <v>0</v>
      </c>
      <c r="AF38" s="70">
        <f t="shared" si="4"/>
        <v>0</v>
      </c>
      <c r="AG38" s="70">
        <f t="shared" si="4"/>
        <v>0</v>
      </c>
      <c r="AH38" s="70">
        <f t="shared" si="4"/>
        <v>0</v>
      </c>
      <c r="AI38" s="70">
        <f t="shared" si="4"/>
        <v>0</v>
      </c>
      <c r="AJ38" s="70">
        <f t="shared" si="4"/>
        <v>0</v>
      </c>
      <c r="AK38" s="70">
        <f t="shared" si="4"/>
        <v>0</v>
      </c>
      <c r="AL38" s="70">
        <f t="shared" si="4"/>
        <v>0</v>
      </c>
      <c r="AM38" s="70">
        <f t="shared" si="4"/>
        <v>0</v>
      </c>
      <c r="AN38" s="70">
        <f t="shared" si="4"/>
        <v>0</v>
      </c>
      <c r="AO38" s="70">
        <f t="shared" si="4"/>
        <v>0</v>
      </c>
      <c r="AP38" s="70">
        <f t="shared" si="4"/>
        <v>0</v>
      </c>
      <c r="AQ38" s="70">
        <f t="shared" si="4"/>
        <v>0</v>
      </c>
      <c r="AR38" s="70">
        <f t="shared" si="4"/>
        <v>0</v>
      </c>
      <c r="AS38" s="70">
        <f t="shared" si="4"/>
        <v>0</v>
      </c>
      <c r="AT38" s="70">
        <f t="shared" si="4"/>
        <v>0</v>
      </c>
      <c r="AU38" s="70">
        <f t="shared" si="4"/>
        <v>0</v>
      </c>
      <c r="AV38" s="70">
        <f t="shared" si="4"/>
        <v>0</v>
      </c>
      <c r="AW38" s="70">
        <f t="shared" si="4"/>
        <v>0</v>
      </c>
      <c r="AX38" s="70">
        <f t="shared" si="4"/>
        <v>0</v>
      </c>
      <c r="AY38" s="70">
        <f t="shared" si="4"/>
        <v>0</v>
      </c>
      <c r="AZ38" s="70">
        <f t="shared" si="4"/>
        <v>0</v>
      </c>
      <c r="BA38" s="70">
        <f t="shared" si="4"/>
        <v>0</v>
      </c>
      <c r="BB38" s="70">
        <f t="shared" si="4"/>
        <v>0</v>
      </c>
      <c r="BC38" s="70">
        <f t="shared" si="4"/>
        <v>0</v>
      </c>
      <c r="BD38" s="70">
        <f t="shared" si="4"/>
        <v>0</v>
      </c>
      <c r="BE38" s="70">
        <f t="shared" si="4"/>
        <v>0</v>
      </c>
      <c r="BF38" s="70">
        <f t="shared" si="4"/>
        <v>0</v>
      </c>
      <c r="BG38" s="70">
        <f t="shared" si="4"/>
        <v>0</v>
      </c>
      <c r="BH38" s="70">
        <f t="shared" si="4"/>
        <v>0</v>
      </c>
      <c r="BI38" s="70">
        <f t="shared" si="4"/>
        <v>0</v>
      </c>
      <c r="BJ38" s="70">
        <f t="shared" si="4"/>
        <v>0</v>
      </c>
      <c r="BK38" s="70">
        <f t="shared" si="4"/>
        <v>0</v>
      </c>
      <c r="BL38" s="70">
        <f t="shared" si="4"/>
        <v>0</v>
      </c>
      <c r="BM38" s="24">
        <f t="shared" si="4"/>
        <v>0</v>
      </c>
    </row>
    <row r="39" spans="1:65" s="32" customFormat="1" x14ac:dyDescent="0.2">
      <c r="A39" s="284" t="s">
        <v>109</v>
      </c>
      <c r="B39" s="18">
        <v>31</v>
      </c>
      <c r="C39" s="9" t="s">
        <v>76</v>
      </c>
      <c r="D39" s="64">
        <f>SUM(F39:BM39)</f>
        <v>0</v>
      </c>
      <c r="E39" s="66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20"/>
    </row>
    <row r="40" spans="1:65" s="32" customFormat="1" x14ac:dyDescent="0.2">
      <c r="A40" s="285"/>
      <c r="B40" s="15">
        <v>32</v>
      </c>
      <c r="C40" s="41" t="s">
        <v>78</v>
      </c>
      <c r="D40" s="65">
        <f t="shared" ref="D40:D55" si="5">SUM(F40:BM40)</f>
        <v>0</v>
      </c>
      <c r="E40" s="53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21"/>
    </row>
    <row r="41" spans="1:65" s="32" customFormat="1" x14ac:dyDescent="0.2">
      <c r="A41" s="285"/>
      <c r="B41" s="15">
        <v>33</v>
      </c>
      <c r="C41" s="41" t="s">
        <v>79</v>
      </c>
      <c r="D41" s="65">
        <f t="shared" si="5"/>
        <v>0</v>
      </c>
      <c r="E41" s="53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21"/>
    </row>
    <row r="42" spans="1:65" s="32" customFormat="1" x14ac:dyDescent="0.2">
      <c r="A42" s="285"/>
      <c r="B42" s="15">
        <v>34</v>
      </c>
      <c r="C42" s="41" t="s">
        <v>80</v>
      </c>
      <c r="D42" s="65">
        <f t="shared" si="5"/>
        <v>0</v>
      </c>
      <c r="E42" s="53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21"/>
    </row>
    <row r="43" spans="1:65" s="32" customFormat="1" x14ac:dyDescent="0.2">
      <c r="A43" s="285"/>
      <c r="B43" s="15">
        <v>35</v>
      </c>
      <c r="C43" s="41" t="s">
        <v>81</v>
      </c>
      <c r="D43" s="65">
        <f t="shared" si="5"/>
        <v>0</v>
      </c>
      <c r="E43" s="53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21"/>
    </row>
    <row r="44" spans="1:65" s="32" customFormat="1" x14ac:dyDescent="0.2">
      <c r="A44" s="285"/>
      <c r="B44" s="15">
        <v>36</v>
      </c>
      <c r="C44" s="41" t="s">
        <v>82</v>
      </c>
      <c r="D44" s="65">
        <f t="shared" si="5"/>
        <v>0</v>
      </c>
      <c r="E44" s="53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21"/>
    </row>
    <row r="45" spans="1:65" s="32" customFormat="1" x14ac:dyDescent="0.2">
      <c r="A45" s="285"/>
      <c r="B45" s="15">
        <v>37</v>
      </c>
      <c r="C45" s="41" t="s">
        <v>85</v>
      </c>
      <c r="D45" s="65">
        <f t="shared" si="5"/>
        <v>0</v>
      </c>
      <c r="E45" s="53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21"/>
    </row>
    <row r="46" spans="1:65" s="32" customFormat="1" x14ac:dyDescent="0.2">
      <c r="A46" s="285"/>
      <c r="B46" s="15">
        <v>38</v>
      </c>
      <c r="C46" s="41" t="s">
        <v>86</v>
      </c>
      <c r="D46" s="65">
        <f t="shared" si="5"/>
        <v>0</v>
      </c>
      <c r="E46" s="53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21"/>
    </row>
    <row r="47" spans="1:65" s="32" customFormat="1" x14ac:dyDescent="0.2">
      <c r="A47" s="285"/>
      <c r="B47" s="15">
        <v>39</v>
      </c>
      <c r="C47" s="41" t="s">
        <v>88</v>
      </c>
      <c r="D47" s="65">
        <f t="shared" si="5"/>
        <v>0</v>
      </c>
      <c r="E47" s="53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21"/>
    </row>
    <row r="48" spans="1:65" s="32" customFormat="1" x14ac:dyDescent="0.2">
      <c r="A48" s="285"/>
      <c r="B48" s="15">
        <v>40</v>
      </c>
      <c r="C48" s="41" t="s">
        <v>89</v>
      </c>
      <c r="D48" s="65">
        <f t="shared" si="5"/>
        <v>0</v>
      </c>
      <c r="E48" s="53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21"/>
    </row>
    <row r="49" spans="1:66" s="32" customFormat="1" x14ac:dyDescent="0.2">
      <c r="A49" s="285"/>
      <c r="B49" s="15">
        <v>41</v>
      </c>
      <c r="C49" s="41" t="s">
        <v>91</v>
      </c>
      <c r="D49" s="65">
        <f t="shared" si="5"/>
        <v>0</v>
      </c>
      <c r="E49" s="53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21"/>
    </row>
    <row r="50" spans="1:66" s="32" customFormat="1" x14ac:dyDescent="0.2">
      <c r="A50" s="285"/>
      <c r="B50" s="15">
        <v>42</v>
      </c>
      <c r="C50" s="41" t="s">
        <v>92</v>
      </c>
      <c r="D50" s="65">
        <f t="shared" si="5"/>
        <v>0</v>
      </c>
      <c r="E50" s="53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21"/>
    </row>
    <row r="51" spans="1:66" s="32" customFormat="1" x14ac:dyDescent="0.2">
      <c r="A51" s="285"/>
      <c r="B51" s="15">
        <v>43</v>
      </c>
      <c r="C51" s="41" t="s">
        <v>93</v>
      </c>
      <c r="D51" s="65">
        <f t="shared" si="5"/>
        <v>0</v>
      </c>
      <c r="E51" s="53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21"/>
    </row>
    <row r="52" spans="1:66" s="32" customFormat="1" x14ac:dyDescent="0.2">
      <c r="A52" s="285"/>
      <c r="B52" s="15">
        <v>44</v>
      </c>
      <c r="C52" s="41" t="s">
        <v>144</v>
      </c>
      <c r="D52" s="65">
        <f t="shared" si="5"/>
        <v>0</v>
      </c>
      <c r="E52" s="148"/>
      <c r="F52" s="13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</row>
    <row r="53" spans="1:66" s="32" customFormat="1" x14ac:dyDescent="0.2">
      <c r="A53" s="285"/>
      <c r="B53" s="15">
        <v>45</v>
      </c>
      <c r="C53" s="41" t="s">
        <v>95</v>
      </c>
      <c r="D53" s="65">
        <f t="shared" si="5"/>
        <v>0</v>
      </c>
      <c r="E53" s="53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21"/>
    </row>
    <row r="54" spans="1:66" s="32" customFormat="1" x14ac:dyDescent="0.2">
      <c r="A54" s="285"/>
      <c r="B54" s="15">
        <v>46</v>
      </c>
      <c r="C54" s="41" t="s">
        <v>95</v>
      </c>
      <c r="D54" s="65">
        <f t="shared" si="5"/>
        <v>0</v>
      </c>
      <c r="E54" s="53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21"/>
    </row>
    <row r="55" spans="1:66" s="32" customFormat="1" x14ac:dyDescent="0.2">
      <c r="A55" s="285"/>
      <c r="B55" s="15">
        <v>47</v>
      </c>
      <c r="C55" s="41" t="s">
        <v>95</v>
      </c>
      <c r="D55" s="65">
        <f t="shared" si="5"/>
        <v>0</v>
      </c>
      <c r="E55" s="53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21"/>
    </row>
    <row r="56" spans="1:66" s="32" customFormat="1" ht="13.5" thickBot="1" x14ac:dyDescent="0.25">
      <c r="A56" s="286"/>
      <c r="B56" s="22">
        <v>48</v>
      </c>
      <c r="C56" s="67" t="s">
        <v>117</v>
      </c>
      <c r="D56" s="68">
        <f>SUM(D39:D55)</f>
        <v>0</v>
      </c>
      <c r="E56" s="69"/>
      <c r="F56" s="70">
        <f>SUM(F39:F55)</f>
        <v>0</v>
      </c>
      <c r="G56" s="70">
        <f>SUM(G39:G55)</f>
        <v>0</v>
      </c>
      <c r="H56" s="70">
        <f t="shared" ref="H56:BM56" si="6">SUM(H39:H55)</f>
        <v>0</v>
      </c>
      <c r="I56" s="70">
        <f t="shared" si="6"/>
        <v>0</v>
      </c>
      <c r="J56" s="70">
        <f t="shared" si="6"/>
        <v>0</v>
      </c>
      <c r="K56" s="70">
        <f t="shared" si="6"/>
        <v>0</v>
      </c>
      <c r="L56" s="70">
        <f t="shared" si="6"/>
        <v>0</v>
      </c>
      <c r="M56" s="70">
        <f t="shared" si="6"/>
        <v>0</v>
      </c>
      <c r="N56" s="70">
        <f t="shared" si="6"/>
        <v>0</v>
      </c>
      <c r="O56" s="70">
        <f t="shared" si="6"/>
        <v>0</v>
      </c>
      <c r="P56" s="70">
        <f t="shared" si="6"/>
        <v>0</v>
      </c>
      <c r="Q56" s="70">
        <f t="shared" si="6"/>
        <v>0</v>
      </c>
      <c r="R56" s="70">
        <f t="shared" si="6"/>
        <v>0</v>
      </c>
      <c r="S56" s="70">
        <f t="shared" si="6"/>
        <v>0</v>
      </c>
      <c r="T56" s="70">
        <f t="shared" si="6"/>
        <v>0</v>
      </c>
      <c r="U56" s="70">
        <f t="shared" si="6"/>
        <v>0</v>
      </c>
      <c r="V56" s="70">
        <f t="shared" si="6"/>
        <v>0</v>
      </c>
      <c r="W56" s="70">
        <f t="shared" si="6"/>
        <v>0</v>
      </c>
      <c r="X56" s="70">
        <f t="shared" si="6"/>
        <v>0</v>
      </c>
      <c r="Y56" s="70">
        <f t="shared" si="6"/>
        <v>0</v>
      </c>
      <c r="Z56" s="70">
        <f t="shared" si="6"/>
        <v>0</v>
      </c>
      <c r="AA56" s="70">
        <f t="shared" si="6"/>
        <v>0</v>
      </c>
      <c r="AB56" s="70">
        <f t="shared" si="6"/>
        <v>0</v>
      </c>
      <c r="AC56" s="70">
        <f t="shared" si="6"/>
        <v>0</v>
      </c>
      <c r="AD56" s="70">
        <f t="shared" si="6"/>
        <v>0</v>
      </c>
      <c r="AE56" s="70">
        <f t="shared" si="6"/>
        <v>0</v>
      </c>
      <c r="AF56" s="70">
        <f t="shared" si="6"/>
        <v>0</v>
      </c>
      <c r="AG56" s="70">
        <f t="shared" si="6"/>
        <v>0</v>
      </c>
      <c r="AH56" s="70">
        <f t="shared" si="6"/>
        <v>0</v>
      </c>
      <c r="AI56" s="70">
        <f t="shared" si="6"/>
        <v>0</v>
      </c>
      <c r="AJ56" s="70">
        <f t="shared" si="6"/>
        <v>0</v>
      </c>
      <c r="AK56" s="70">
        <f t="shared" si="6"/>
        <v>0</v>
      </c>
      <c r="AL56" s="70">
        <f t="shared" si="6"/>
        <v>0</v>
      </c>
      <c r="AM56" s="70">
        <f t="shared" si="6"/>
        <v>0</v>
      </c>
      <c r="AN56" s="70">
        <f t="shared" si="6"/>
        <v>0</v>
      </c>
      <c r="AO56" s="70">
        <f t="shared" si="6"/>
        <v>0</v>
      </c>
      <c r="AP56" s="70">
        <f t="shared" si="6"/>
        <v>0</v>
      </c>
      <c r="AQ56" s="70">
        <f t="shared" si="6"/>
        <v>0</v>
      </c>
      <c r="AR56" s="70">
        <f t="shared" si="6"/>
        <v>0</v>
      </c>
      <c r="AS56" s="70">
        <f t="shared" si="6"/>
        <v>0</v>
      </c>
      <c r="AT56" s="70">
        <f t="shared" si="6"/>
        <v>0</v>
      </c>
      <c r="AU56" s="70">
        <f t="shared" si="6"/>
        <v>0</v>
      </c>
      <c r="AV56" s="70">
        <f t="shared" si="6"/>
        <v>0</v>
      </c>
      <c r="AW56" s="70">
        <f t="shared" si="6"/>
        <v>0</v>
      </c>
      <c r="AX56" s="70">
        <f t="shared" si="6"/>
        <v>0</v>
      </c>
      <c r="AY56" s="70">
        <f t="shared" si="6"/>
        <v>0</v>
      </c>
      <c r="AZ56" s="70">
        <f t="shared" si="6"/>
        <v>0</v>
      </c>
      <c r="BA56" s="70">
        <f t="shared" si="6"/>
        <v>0</v>
      </c>
      <c r="BB56" s="70">
        <f t="shared" si="6"/>
        <v>0</v>
      </c>
      <c r="BC56" s="70">
        <f t="shared" si="6"/>
        <v>0</v>
      </c>
      <c r="BD56" s="70">
        <f t="shared" si="6"/>
        <v>0</v>
      </c>
      <c r="BE56" s="70">
        <f t="shared" si="6"/>
        <v>0</v>
      </c>
      <c r="BF56" s="70">
        <f t="shared" si="6"/>
        <v>0</v>
      </c>
      <c r="BG56" s="70">
        <f t="shared" si="6"/>
        <v>0</v>
      </c>
      <c r="BH56" s="70">
        <f t="shared" si="6"/>
        <v>0</v>
      </c>
      <c r="BI56" s="70">
        <f t="shared" si="6"/>
        <v>0</v>
      </c>
      <c r="BJ56" s="70">
        <f t="shared" si="6"/>
        <v>0</v>
      </c>
      <c r="BK56" s="70">
        <f>SUM(BK39:BK55)</f>
        <v>0</v>
      </c>
      <c r="BL56" s="70">
        <f t="shared" si="6"/>
        <v>0</v>
      </c>
      <c r="BM56" s="24">
        <f t="shared" si="6"/>
        <v>0</v>
      </c>
    </row>
    <row r="57" spans="1:66" s="32" customFormat="1" ht="18.75" thickBot="1" x14ac:dyDescent="0.3">
      <c r="A57" s="23"/>
      <c r="B57" s="23"/>
      <c r="C57" s="72" t="s">
        <v>111</v>
      </c>
      <c r="D57" s="73">
        <f>D19+D25+D38+D56</f>
        <v>0</v>
      </c>
      <c r="E57" s="74"/>
      <c r="F57" s="58">
        <f>F19+F25+F38+F56</f>
        <v>0</v>
      </c>
      <c r="G57" s="58">
        <f t="shared" ref="G57:BM57" si="7">G19+G25+G38+G56</f>
        <v>0</v>
      </c>
      <c r="H57" s="58">
        <f t="shared" si="7"/>
        <v>0</v>
      </c>
      <c r="I57" s="58">
        <f t="shared" si="7"/>
        <v>0</v>
      </c>
      <c r="J57" s="58">
        <f t="shared" si="7"/>
        <v>0</v>
      </c>
      <c r="K57" s="58">
        <f t="shared" si="7"/>
        <v>0</v>
      </c>
      <c r="L57" s="58">
        <f t="shared" si="7"/>
        <v>0</v>
      </c>
      <c r="M57" s="58">
        <f t="shared" si="7"/>
        <v>0</v>
      </c>
      <c r="N57" s="58">
        <f t="shared" si="7"/>
        <v>0</v>
      </c>
      <c r="O57" s="58">
        <f t="shared" si="7"/>
        <v>0</v>
      </c>
      <c r="P57" s="58">
        <f t="shared" si="7"/>
        <v>0</v>
      </c>
      <c r="Q57" s="58">
        <f t="shared" si="7"/>
        <v>0</v>
      </c>
      <c r="R57" s="58">
        <f t="shared" si="7"/>
        <v>0</v>
      </c>
      <c r="S57" s="58">
        <f t="shared" si="7"/>
        <v>0</v>
      </c>
      <c r="T57" s="58">
        <f t="shared" si="7"/>
        <v>0</v>
      </c>
      <c r="U57" s="58">
        <f t="shared" si="7"/>
        <v>0</v>
      </c>
      <c r="V57" s="58">
        <f t="shared" si="7"/>
        <v>0</v>
      </c>
      <c r="W57" s="58">
        <f t="shared" si="7"/>
        <v>0</v>
      </c>
      <c r="X57" s="58">
        <f t="shared" si="7"/>
        <v>0</v>
      </c>
      <c r="Y57" s="58">
        <f t="shared" si="7"/>
        <v>0</v>
      </c>
      <c r="Z57" s="58">
        <f t="shared" si="7"/>
        <v>0</v>
      </c>
      <c r="AA57" s="58">
        <f t="shared" si="7"/>
        <v>0</v>
      </c>
      <c r="AB57" s="58">
        <f t="shared" si="7"/>
        <v>0</v>
      </c>
      <c r="AC57" s="58">
        <f t="shared" si="7"/>
        <v>0</v>
      </c>
      <c r="AD57" s="58">
        <f t="shared" si="7"/>
        <v>0</v>
      </c>
      <c r="AE57" s="58">
        <f t="shared" si="7"/>
        <v>0</v>
      </c>
      <c r="AF57" s="58">
        <f t="shared" si="7"/>
        <v>0</v>
      </c>
      <c r="AG57" s="58">
        <f t="shared" si="7"/>
        <v>0</v>
      </c>
      <c r="AH57" s="58">
        <f t="shared" si="7"/>
        <v>0</v>
      </c>
      <c r="AI57" s="58">
        <f t="shared" si="7"/>
        <v>0</v>
      </c>
      <c r="AJ57" s="58">
        <f t="shared" si="7"/>
        <v>0</v>
      </c>
      <c r="AK57" s="58">
        <f t="shared" si="7"/>
        <v>0</v>
      </c>
      <c r="AL57" s="58">
        <f t="shared" si="7"/>
        <v>0</v>
      </c>
      <c r="AM57" s="58">
        <f t="shared" si="7"/>
        <v>0</v>
      </c>
      <c r="AN57" s="58">
        <f t="shared" si="7"/>
        <v>0</v>
      </c>
      <c r="AO57" s="58">
        <f t="shared" si="7"/>
        <v>0</v>
      </c>
      <c r="AP57" s="58">
        <f t="shared" si="7"/>
        <v>0</v>
      </c>
      <c r="AQ57" s="58">
        <f t="shared" si="7"/>
        <v>0</v>
      </c>
      <c r="AR57" s="58">
        <f t="shared" si="7"/>
        <v>0</v>
      </c>
      <c r="AS57" s="58">
        <f t="shared" si="7"/>
        <v>0</v>
      </c>
      <c r="AT57" s="58">
        <f t="shared" si="7"/>
        <v>0</v>
      </c>
      <c r="AU57" s="58">
        <f t="shared" si="7"/>
        <v>0</v>
      </c>
      <c r="AV57" s="58">
        <f t="shared" si="7"/>
        <v>0</v>
      </c>
      <c r="AW57" s="58">
        <f t="shared" si="7"/>
        <v>0</v>
      </c>
      <c r="AX57" s="58">
        <f t="shared" si="7"/>
        <v>0</v>
      </c>
      <c r="AY57" s="58">
        <f t="shared" si="7"/>
        <v>0</v>
      </c>
      <c r="AZ57" s="58">
        <f t="shared" si="7"/>
        <v>0</v>
      </c>
      <c r="BA57" s="58">
        <f t="shared" si="7"/>
        <v>0</v>
      </c>
      <c r="BB57" s="58">
        <f t="shared" si="7"/>
        <v>0</v>
      </c>
      <c r="BC57" s="58">
        <f t="shared" si="7"/>
        <v>0</v>
      </c>
      <c r="BD57" s="58">
        <f t="shared" si="7"/>
        <v>0</v>
      </c>
      <c r="BE57" s="58">
        <f t="shared" si="7"/>
        <v>0</v>
      </c>
      <c r="BF57" s="58">
        <f t="shared" si="7"/>
        <v>0</v>
      </c>
      <c r="BG57" s="58">
        <f t="shared" si="7"/>
        <v>0</v>
      </c>
      <c r="BH57" s="58">
        <f t="shared" si="7"/>
        <v>0</v>
      </c>
      <c r="BI57" s="58">
        <f t="shared" si="7"/>
        <v>0</v>
      </c>
      <c r="BJ57" s="58">
        <f t="shared" si="7"/>
        <v>0</v>
      </c>
      <c r="BK57" s="58">
        <f t="shared" si="7"/>
        <v>0</v>
      </c>
      <c r="BL57" s="58">
        <f t="shared" si="7"/>
        <v>0</v>
      </c>
      <c r="BM57" s="59">
        <f t="shared" si="7"/>
        <v>0</v>
      </c>
    </row>
    <row r="58" spans="1:66" x14ac:dyDescent="0.2">
      <c r="E58" s="5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</row>
    <row r="59" spans="1:66" x14ac:dyDescent="0.2">
      <c r="C59" s="160" t="s">
        <v>163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</row>
    <row r="60" spans="1:66" x14ac:dyDescent="0.2">
      <c r="C60" s="160" t="s">
        <v>162</v>
      </c>
      <c r="D60" s="161">
        <v>2.5000000000000001E-2</v>
      </c>
    </row>
    <row r="61" spans="1:66" ht="15.75" x14ac:dyDescent="0.25">
      <c r="D61" s="159">
        <f>-SUM(Forecast!E31:BL31)</f>
        <v>3363.8012091666669</v>
      </c>
      <c r="E61" s="155" t="s">
        <v>164</v>
      </c>
    </row>
    <row r="63" spans="1:66" hidden="1" x14ac:dyDescent="0.2">
      <c r="F63" s="139">
        <f>Forecast!E28*Expenses!$D$60/12</f>
        <v>-13.209625000000003</v>
      </c>
      <c r="G63" s="139">
        <f>Forecast!F28*Expenses!$D$60/12</f>
        <v>-16.251354166666669</v>
      </c>
      <c r="H63" s="139">
        <f>Forecast!G28*Expenses!$D$60/12</f>
        <v>-21.730041666666668</v>
      </c>
      <c r="I63" s="139">
        <f>Forecast!H28*Expenses!$D$60/12</f>
        <v>-29.645687500000008</v>
      </c>
      <c r="J63" s="139">
        <f>Forecast!I28*Expenses!$D$60/12</f>
        <v>-30.753395833333343</v>
      </c>
      <c r="K63" s="139">
        <f>Forecast!J28*Expenses!$D$60/12</f>
        <v>-31.971875000000011</v>
      </c>
      <c r="L63" s="139">
        <f>Forecast!K28*Expenses!$D$60/12</f>
        <v>-33.19035416666668</v>
      </c>
      <c r="M63" s="139">
        <f>Forecast!L28*Expenses!$D$60/12</f>
        <v>-34.408833333333348</v>
      </c>
      <c r="N63" s="139">
        <f>Forecast!M28*Expenses!$D$60/12</f>
        <v>-35.627312500000009</v>
      </c>
      <c r="O63" s="139">
        <f>Forecast!N28*Expenses!$D$60/12</f>
        <v>-36.845791666666678</v>
      </c>
      <c r="P63" s="139">
        <f>Forecast!O28*Expenses!$D$60/12</f>
        <v>-38.064270833333339</v>
      </c>
      <c r="Q63" s="139">
        <f>Forecast!P28*Expenses!$D$60/12</f>
        <v>-39.28275</v>
      </c>
      <c r="R63" s="139">
        <f>Forecast!Q28*Expenses!$D$60/12</f>
        <v>-40.53778354166667</v>
      </c>
      <c r="S63" s="139">
        <f>Forecast!R28*Expenses!$D$60/12</f>
        <v>-41.792817083333333</v>
      </c>
      <c r="T63" s="139">
        <f>Forecast!S28*Expenses!$D$60/12</f>
        <v>-43.047850624999995</v>
      </c>
      <c r="U63" s="139">
        <f>Forecast!T28*Expenses!$D$60/12</f>
        <v>-44.302884166666665</v>
      </c>
      <c r="V63" s="139">
        <f>Forecast!U28*Expenses!$D$60/12</f>
        <v>-45.557917708333321</v>
      </c>
      <c r="W63" s="139">
        <f>Forecast!V28*Expenses!$D$60/12</f>
        <v>-46.81295124999999</v>
      </c>
      <c r="X63" s="139">
        <f>Forecast!W28*Expenses!$D$60/12</f>
        <v>-48.067984791666646</v>
      </c>
      <c r="Y63" s="139">
        <f>Forecast!X28*Expenses!$D$60/12</f>
        <v>-49.323018333333316</v>
      </c>
      <c r="Z63" s="139">
        <f>Forecast!Y28*Expenses!$D$60/12</f>
        <v>-50.578051874999979</v>
      </c>
      <c r="AA63" s="139">
        <f>Forecast!Z28*Expenses!$D$60/12</f>
        <v>-51.833085416666641</v>
      </c>
      <c r="AB63" s="139">
        <f>Forecast!AA28*Expenses!$D$60/12</f>
        <v>-53.088118958333304</v>
      </c>
      <c r="AC63" s="139">
        <f>Forecast!AB28*Expenses!$D$60/12</f>
        <v>-54.343152499999974</v>
      </c>
      <c r="AD63" s="139">
        <f>Forecast!AC28*Expenses!$D$60/12</f>
        <v>-55.6469252083333</v>
      </c>
      <c r="AE63" s="139">
        <f>Forecast!AD28*Expenses!$D$60/12</f>
        <v>-56.950697916666634</v>
      </c>
      <c r="AF63" s="139">
        <f>Forecast!AE28*Expenses!$D$60/12</f>
        <v>-58.254470624999975</v>
      </c>
      <c r="AG63" s="139">
        <f>Forecast!AF28*Expenses!$D$60/12</f>
        <v>-59.558243333333309</v>
      </c>
      <c r="AH63" s="139">
        <f>Forecast!AG28*Expenses!$D$60/12</f>
        <v>-60.862016041666642</v>
      </c>
      <c r="AI63" s="139">
        <f>Forecast!AH28*Expenses!$D$60/12</f>
        <v>-62.165788749999969</v>
      </c>
      <c r="AJ63" s="139">
        <f>Forecast!AI28*Expenses!$D$60/12</f>
        <v>-63.46956145833331</v>
      </c>
      <c r="AK63" s="139">
        <f>Forecast!AJ28*Expenses!$D$60/12</f>
        <v>-64.773334166666643</v>
      </c>
      <c r="AL63" s="139">
        <f>Forecast!AK28*Expenses!$D$60/12</f>
        <v>-66.077106874999984</v>
      </c>
      <c r="AM63" s="139">
        <f>Forecast!AL28*Expenses!$D$60/12</f>
        <v>-67.380879583333311</v>
      </c>
      <c r="AN63" s="139">
        <f>Forecast!AM28*Expenses!$D$60/12</f>
        <v>-68.684652291666637</v>
      </c>
      <c r="AO63" s="139">
        <f>Forecast!AN28*Expenses!$D$60/12</f>
        <v>-69.988424999999964</v>
      </c>
      <c r="AP63" s="139">
        <f>Forecast!AO28*Expenses!$D$60/12</f>
        <v>-69.988424999999964</v>
      </c>
      <c r="AQ63" s="139">
        <f>Forecast!AP28*Expenses!$D$60/12</f>
        <v>-69.988424999999964</v>
      </c>
      <c r="AR63" s="139">
        <f>Forecast!AQ28*Expenses!$D$60/12</f>
        <v>-69.988424999999964</v>
      </c>
      <c r="AS63" s="139">
        <f>Forecast!AR28*Expenses!$D$60/12</f>
        <v>-69.988424999999964</v>
      </c>
      <c r="AT63" s="139">
        <f>Forecast!AS28*Expenses!$D$60/12</f>
        <v>-69.988424999999964</v>
      </c>
      <c r="AU63" s="139">
        <f>Forecast!AT28*Expenses!$D$60/12</f>
        <v>-69.988424999999964</v>
      </c>
      <c r="AV63" s="139">
        <f>Forecast!AU28*Expenses!$D$60/12</f>
        <v>-69.988424999999964</v>
      </c>
      <c r="AW63" s="139">
        <f>Forecast!AV28*Expenses!$D$60/12</f>
        <v>-69.988424999999964</v>
      </c>
      <c r="AX63" s="139">
        <f>Forecast!AW28*Expenses!$D$60/12</f>
        <v>-69.988424999999964</v>
      </c>
      <c r="AY63" s="139">
        <f>Forecast!AX28*Expenses!$D$60/12</f>
        <v>-69.988424999999964</v>
      </c>
      <c r="AZ63" s="139">
        <f>Forecast!AY28*Expenses!$D$60/12</f>
        <v>-69.988424999999964</v>
      </c>
      <c r="BA63" s="139">
        <f>Forecast!AZ28*Expenses!$D$60/12</f>
        <v>-69.988424999999964</v>
      </c>
      <c r="BB63" s="139">
        <f>Forecast!BA28*Expenses!$D$60/12</f>
        <v>-69.988424999999964</v>
      </c>
      <c r="BC63" s="139">
        <f>Forecast!BB28*Expenses!$D$60/12</f>
        <v>-69.988424999999964</v>
      </c>
      <c r="BD63" s="139">
        <f>Forecast!BC28*Expenses!$D$60/12</f>
        <v>-69.988424999999964</v>
      </c>
      <c r="BE63" s="139">
        <f>Forecast!BD28*Expenses!$D$60/12</f>
        <v>-69.988424999999964</v>
      </c>
      <c r="BF63" s="139">
        <f>Forecast!BE28*Expenses!$D$60/12</f>
        <v>-69.988424999999964</v>
      </c>
      <c r="BG63" s="139">
        <f>Forecast!BF28*Expenses!$D$60/12</f>
        <v>-69.988424999999964</v>
      </c>
      <c r="BH63" s="139">
        <f>Forecast!BG28*Expenses!$D$60/12</f>
        <v>-69.988424999999964</v>
      </c>
      <c r="BI63" s="139">
        <f>Forecast!BH28*Expenses!$D$60/12</f>
        <v>-69.988424999999964</v>
      </c>
      <c r="BJ63" s="139">
        <f>Forecast!BI28*Expenses!$D$60/12</f>
        <v>-69.988424999999964</v>
      </c>
      <c r="BK63" s="139">
        <f>Forecast!BJ28*Expenses!$D$60/12</f>
        <v>-69.988424999999964</v>
      </c>
      <c r="BL63" s="139">
        <f>Forecast!BK28*Expenses!$D$60/12</f>
        <v>-69.988424999999964</v>
      </c>
      <c r="BM63" s="139">
        <f>Forecast!BL28*Expenses!$D$60/12</f>
        <v>-69.988424999999964</v>
      </c>
      <c r="BN63" s="145"/>
    </row>
    <row r="64" spans="1:66" hidden="1" x14ac:dyDescent="0.2">
      <c r="F64">
        <f>IF(F63&lt;0,F63,0)</f>
        <v>-13.209625000000003</v>
      </c>
      <c r="G64" s="145">
        <f t="shared" ref="G64:BM64" si="8">IF(G63&lt;0,G63,0)</f>
        <v>-16.251354166666669</v>
      </c>
      <c r="H64" s="145">
        <f t="shared" si="8"/>
        <v>-21.730041666666668</v>
      </c>
      <c r="I64" s="145">
        <f t="shared" si="8"/>
        <v>-29.645687500000008</v>
      </c>
      <c r="J64" s="145">
        <f t="shared" si="8"/>
        <v>-30.753395833333343</v>
      </c>
      <c r="K64" s="145">
        <f t="shared" si="8"/>
        <v>-31.971875000000011</v>
      </c>
      <c r="L64" s="145">
        <f t="shared" si="8"/>
        <v>-33.19035416666668</v>
      </c>
      <c r="M64" s="145">
        <f t="shared" si="8"/>
        <v>-34.408833333333348</v>
      </c>
      <c r="N64" s="145">
        <f t="shared" si="8"/>
        <v>-35.627312500000009</v>
      </c>
      <c r="O64" s="145">
        <f t="shared" si="8"/>
        <v>-36.845791666666678</v>
      </c>
      <c r="P64" s="145">
        <f t="shared" si="8"/>
        <v>-38.064270833333339</v>
      </c>
      <c r="Q64" s="145">
        <f t="shared" si="8"/>
        <v>-39.28275</v>
      </c>
      <c r="R64" s="145">
        <f t="shared" si="8"/>
        <v>-40.53778354166667</v>
      </c>
      <c r="S64" s="145">
        <f t="shared" si="8"/>
        <v>-41.792817083333333</v>
      </c>
      <c r="T64" s="145">
        <f t="shared" si="8"/>
        <v>-43.047850624999995</v>
      </c>
      <c r="U64" s="145">
        <f t="shared" si="8"/>
        <v>-44.302884166666665</v>
      </c>
      <c r="V64" s="145">
        <f t="shared" si="8"/>
        <v>-45.557917708333321</v>
      </c>
      <c r="W64" s="145">
        <f t="shared" si="8"/>
        <v>-46.81295124999999</v>
      </c>
      <c r="X64" s="145">
        <f t="shared" si="8"/>
        <v>-48.067984791666646</v>
      </c>
      <c r="Y64" s="145">
        <f t="shared" si="8"/>
        <v>-49.323018333333316</v>
      </c>
      <c r="Z64" s="145">
        <f t="shared" si="8"/>
        <v>-50.578051874999979</v>
      </c>
      <c r="AA64" s="145">
        <f t="shared" si="8"/>
        <v>-51.833085416666641</v>
      </c>
      <c r="AB64" s="145">
        <f t="shared" si="8"/>
        <v>-53.088118958333304</v>
      </c>
      <c r="AC64" s="145">
        <f t="shared" si="8"/>
        <v>-54.343152499999974</v>
      </c>
      <c r="AD64" s="145">
        <f t="shared" si="8"/>
        <v>-55.6469252083333</v>
      </c>
      <c r="AE64" s="145">
        <f t="shared" si="8"/>
        <v>-56.950697916666634</v>
      </c>
      <c r="AF64" s="145">
        <f t="shared" si="8"/>
        <v>-58.254470624999975</v>
      </c>
      <c r="AG64" s="145">
        <f t="shared" si="8"/>
        <v>-59.558243333333309</v>
      </c>
      <c r="AH64" s="145">
        <f t="shared" si="8"/>
        <v>-60.862016041666642</v>
      </c>
      <c r="AI64" s="145">
        <f t="shared" si="8"/>
        <v>-62.165788749999969</v>
      </c>
      <c r="AJ64" s="145">
        <f t="shared" si="8"/>
        <v>-63.46956145833331</v>
      </c>
      <c r="AK64" s="145">
        <f t="shared" si="8"/>
        <v>-64.773334166666643</v>
      </c>
      <c r="AL64" s="145">
        <f t="shared" si="8"/>
        <v>-66.077106874999984</v>
      </c>
      <c r="AM64" s="145">
        <f t="shared" si="8"/>
        <v>-67.380879583333311</v>
      </c>
      <c r="AN64" s="145">
        <f t="shared" si="8"/>
        <v>-68.684652291666637</v>
      </c>
      <c r="AO64" s="145">
        <f t="shared" si="8"/>
        <v>-69.988424999999964</v>
      </c>
      <c r="AP64" s="145">
        <f t="shared" si="8"/>
        <v>-69.988424999999964</v>
      </c>
      <c r="AQ64" s="145">
        <f t="shared" si="8"/>
        <v>-69.988424999999964</v>
      </c>
      <c r="AR64" s="145">
        <f t="shared" si="8"/>
        <v>-69.988424999999964</v>
      </c>
      <c r="AS64" s="145">
        <f t="shared" si="8"/>
        <v>-69.988424999999964</v>
      </c>
      <c r="AT64" s="145">
        <f t="shared" si="8"/>
        <v>-69.988424999999964</v>
      </c>
      <c r="AU64" s="145">
        <f t="shared" si="8"/>
        <v>-69.988424999999964</v>
      </c>
      <c r="AV64" s="145">
        <f t="shared" si="8"/>
        <v>-69.988424999999964</v>
      </c>
      <c r="AW64" s="145">
        <f t="shared" si="8"/>
        <v>-69.988424999999964</v>
      </c>
      <c r="AX64" s="145">
        <f t="shared" si="8"/>
        <v>-69.988424999999964</v>
      </c>
      <c r="AY64" s="145">
        <f t="shared" si="8"/>
        <v>-69.988424999999964</v>
      </c>
      <c r="AZ64" s="145">
        <f t="shared" si="8"/>
        <v>-69.988424999999964</v>
      </c>
      <c r="BA64" s="145">
        <f t="shared" si="8"/>
        <v>-69.988424999999964</v>
      </c>
      <c r="BB64" s="145">
        <f t="shared" si="8"/>
        <v>-69.988424999999964</v>
      </c>
      <c r="BC64" s="145">
        <f t="shared" si="8"/>
        <v>-69.988424999999964</v>
      </c>
      <c r="BD64" s="145">
        <f t="shared" si="8"/>
        <v>-69.988424999999964</v>
      </c>
      <c r="BE64" s="145">
        <f t="shared" si="8"/>
        <v>-69.988424999999964</v>
      </c>
      <c r="BF64" s="145">
        <f t="shared" si="8"/>
        <v>-69.988424999999964</v>
      </c>
      <c r="BG64" s="145">
        <f t="shared" si="8"/>
        <v>-69.988424999999964</v>
      </c>
      <c r="BH64" s="145">
        <f t="shared" si="8"/>
        <v>-69.988424999999964</v>
      </c>
      <c r="BI64" s="145">
        <f t="shared" si="8"/>
        <v>-69.988424999999964</v>
      </c>
      <c r="BJ64" s="145">
        <f t="shared" si="8"/>
        <v>-69.988424999999964</v>
      </c>
      <c r="BK64" s="145">
        <f t="shared" si="8"/>
        <v>-69.988424999999964</v>
      </c>
      <c r="BL64" s="145">
        <f t="shared" si="8"/>
        <v>-69.988424999999964</v>
      </c>
      <c r="BM64" s="145">
        <f t="shared" si="8"/>
        <v>-69.988424999999964</v>
      </c>
    </row>
  </sheetData>
  <mergeCells count="6">
    <mergeCell ref="A26:A38"/>
    <mergeCell ref="A39:A56"/>
    <mergeCell ref="A3:C3"/>
    <mergeCell ref="A4:C4"/>
    <mergeCell ref="A9:A19"/>
    <mergeCell ref="A20:A25"/>
  </mergeCells>
  <phoneticPr fontId="2" type="noConversion"/>
  <printOptions horizontalCentered="1" verticalCentered="1" headings="1" gridLines="1"/>
  <pageMargins left="0.35433070866141736" right="0.35433070866141736" top="0.59055118110236227" bottom="0.59055118110236227" header="0.31496062992125984" footer="0.31496062992125984"/>
  <pageSetup scale="54" fitToWidth="5" orientation="landscape" blackAndWhite="1" r:id="rId1"/>
  <headerFooter alignWithMargins="0">
    <oddHeader>&amp;A</oddHeader>
    <oddFooter>Strona &amp;P z &amp;N</oddFooter>
  </headerFooter>
  <colBreaks count="1" manualBreakCount="1">
    <brk id="48" max="5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40"/>
  <sheetViews>
    <sheetView workbookViewId="0">
      <selection activeCell="F18" sqref="F18"/>
    </sheetView>
  </sheetViews>
  <sheetFormatPr defaultRowHeight="12.75" x14ac:dyDescent="0.2"/>
  <cols>
    <col min="4" max="4" width="46.5703125" customWidth="1"/>
    <col min="5" max="5" width="19.5703125" customWidth="1"/>
    <col min="6" max="6" width="13.28515625" customWidth="1"/>
    <col min="7" max="7" width="11.85546875" customWidth="1"/>
  </cols>
  <sheetData>
    <row r="1" spans="1:8" ht="15" x14ac:dyDescent="0.2">
      <c r="A1" s="62" t="s">
        <v>135</v>
      </c>
    </row>
    <row r="4" spans="1:8" x14ac:dyDescent="0.2">
      <c r="E4" s="153"/>
    </row>
    <row r="5" spans="1:8" x14ac:dyDescent="0.2">
      <c r="D5" s="145"/>
      <c r="E5" s="153"/>
      <c r="F5" s="153"/>
      <c r="G5" s="145"/>
      <c r="H5" s="145"/>
    </row>
    <row r="6" spans="1:8" x14ac:dyDescent="0.2">
      <c r="E6" s="153"/>
      <c r="F6" s="153"/>
    </row>
    <row r="7" spans="1:8" x14ac:dyDescent="0.2">
      <c r="E7" s="153"/>
      <c r="F7" s="153"/>
    </row>
    <row r="8" spans="1:8" x14ac:dyDescent="0.2">
      <c r="E8" s="153"/>
      <c r="F8" s="153"/>
    </row>
    <row r="9" spans="1:8" x14ac:dyDescent="0.2">
      <c r="E9" s="153"/>
      <c r="F9" s="153"/>
      <c r="G9" s="145"/>
      <c r="H9" s="145"/>
    </row>
    <row r="10" spans="1:8" x14ac:dyDescent="0.2">
      <c r="E10" s="153"/>
      <c r="F10" s="153"/>
      <c r="G10" s="145"/>
      <c r="H10" s="145"/>
    </row>
    <row r="11" spans="1:8" x14ac:dyDescent="0.2">
      <c r="E11" s="153"/>
      <c r="F11" s="153"/>
      <c r="G11" s="145"/>
      <c r="H11" s="145"/>
    </row>
    <row r="12" spans="1:8" x14ac:dyDescent="0.2">
      <c r="E12" s="153"/>
      <c r="F12" s="154"/>
      <c r="G12" s="145"/>
      <c r="H12" s="145"/>
    </row>
    <row r="13" spans="1:8" x14ac:dyDescent="0.2">
      <c r="E13" s="153"/>
      <c r="F13" s="154"/>
      <c r="G13" s="145"/>
      <c r="H13" s="145"/>
    </row>
    <row r="14" spans="1:8" x14ac:dyDescent="0.2">
      <c r="E14" s="153"/>
      <c r="F14" s="154"/>
      <c r="G14" s="145"/>
      <c r="H14" s="145"/>
    </row>
    <row r="15" spans="1:8" x14ac:dyDescent="0.2">
      <c r="E15" s="153"/>
      <c r="F15" s="154"/>
      <c r="G15" s="145"/>
      <c r="H15" s="145"/>
    </row>
    <row r="16" spans="1:8" x14ac:dyDescent="0.2">
      <c r="E16" s="153"/>
      <c r="F16" s="153"/>
      <c r="G16" s="145"/>
      <c r="H16" s="145"/>
    </row>
    <row r="17" spans="6:8" x14ac:dyDescent="0.2">
      <c r="F17" s="145"/>
      <c r="G17" s="145"/>
      <c r="H17" s="145"/>
    </row>
    <row r="18" spans="6:8" x14ac:dyDescent="0.2">
      <c r="F18" s="145"/>
      <c r="G18" s="145"/>
      <c r="H18" s="145"/>
    </row>
    <row r="19" spans="6:8" x14ac:dyDescent="0.2">
      <c r="F19" s="145"/>
      <c r="G19" s="145"/>
      <c r="H19" s="145"/>
    </row>
    <row r="20" spans="6:8" x14ac:dyDescent="0.2">
      <c r="F20" s="145"/>
      <c r="G20" s="145"/>
      <c r="H20" s="145"/>
    </row>
    <row r="21" spans="6:8" x14ac:dyDescent="0.2">
      <c r="F21" s="145"/>
      <c r="G21" s="145"/>
      <c r="H21" s="145"/>
    </row>
    <row r="22" spans="6:8" x14ac:dyDescent="0.2">
      <c r="F22" s="145"/>
      <c r="G22" s="145"/>
      <c r="H22" s="145"/>
    </row>
    <row r="23" spans="6:8" x14ac:dyDescent="0.2">
      <c r="F23" s="145"/>
      <c r="G23" s="145"/>
      <c r="H23" s="145"/>
    </row>
    <row r="24" spans="6:8" x14ac:dyDescent="0.2">
      <c r="F24" s="145"/>
      <c r="G24" s="145"/>
      <c r="H24" s="145"/>
    </row>
    <row r="25" spans="6:8" x14ac:dyDescent="0.2">
      <c r="F25" s="145"/>
      <c r="G25" s="145"/>
      <c r="H25" s="145"/>
    </row>
    <row r="26" spans="6:8" x14ac:dyDescent="0.2">
      <c r="F26" s="145"/>
      <c r="G26" s="145"/>
      <c r="H26" s="145"/>
    </row>
    <row r="27" spans="6:8" x14ac:dyDescent="0.2">
      <c r="F27" s="145"/>
      <c r="G27" s="145"/>
      <c r="H27" s="145"/>
    </row>
    <row r="28" spans="6:8" x14ac:dyDescent="0.2">
      <c r="F28" s="145"/>
      <c r="G28" s="145"/>
      <c r="H28" s="145"/>
    </row>
    <row r="29" spans="6:8" x14ac:dyDescent="0.2">
      <c r="F29" s="145"/>
      <c r="G29" s="145"/>
      <c r="H29" s="145"/>
    </row>
    <row r="30" spans="6:8" x14ac:dyDescent="0.2">
      <c r="F30" s="145"/>
      <c r="G30" s="145"/>
      <c r="H30" s="145"/>
    </row>
    <row r="31" spans="6:8" x14ac:dyDescent="0.2">
      <c r="F31" s="145"/>
      <c r="G31" s="145"/>
      <c r="H31" s="145"/>
    </row>
    <row r="32" spans="6:8" x14ac:dyDescent="0.2">
      <c r="F32" s="145"/>
      <c r="G32" s="145"/>
      <c r="H32" s="145"/>
    </row>
    <row r="36" spans="4:8" x14ac:dyDescent="0.2">
      <c r="D36" s="145"/>
    </row>
    <row r="38" spans="4:8" x14ac:dyDescent="0.2">
      <c r="H38" s="145"/>
    </row>
    <row r="40" spans="4:8" x14ac:dyDescent="0.2">
      <c r="D40" s="145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I153"/>
  <sheetViews>
    <sheetView topLeftCell="A106" workbookViewId="0">
      <selection activeCell="C157" sqref="C157"/>
    </sheetView>
  </sheetViews>
  <sheetFormatPr defaultRowHeight="12.75" x14ac:dyDescent="0.2"/>
  <cols>
    <col min="1" max="1" width="19.28515625" style="145" customWidth="1"/>
    <col min="2" max="2" width="12" customWidth="1"/>
    <col min="3" max="3" width="21.28515625" customWidth="1"/>
    <col min="4" max="4" width="19.28515625" customWidth="1"/>
    <col min="5" max="5" width="28.42578125" customWidth="1"/>
    <col min="6" max="6" width="25.85546875" customWidth="1"/>
    <col min="7" max="7" width="39.42578125" customWidth="1"/>
  </cols>
  <sheetData>
    <row r="1" spans="1:9" ht="30" x14ac:dyDescent="0.2">
      <c r="A1" s="241" t="s">
        <v>190</v>
      </c>
      <c r="B1" s="241" t="s">
        <v>207</v>
      </c>
      <c r="C1" s="241" t="s">
        <v>208</v>
      </c>
      <c r="D1" s="241" t="s">
        <v>209</v>
      </c>
      <c r="E1" s="241" t="s">
        <v>210</v>
      </c>
      <c r="F1" s="241" t="s">
        <v>211</v>
      </c>
      <c r="G1" s="241" t="s">
        <v>212</v>
      </c>
      <c r="H1" s="241" t="s">
        <v>182</v>
      </c>
      <c r="I1" s="241" t="s">
        <v>213</v>
      </c>
    </row>
    <row r="2" spans="1:9" ht="15" x14ac:dyDescent="0.25">
      <c r="A2" s="242" t="str">
        <f t="shared" ref="A2:A33" si="0">D2&amp;" "&amp;C2</f>
        <v>Adamowski Dastin</v>
      </c>
      <c r="B2" s="242">
        <v>57179</v>
      </c>
      <c r="C2" s="242" t="s">
        <v>483</v>
      </c>
      <c r="D2" s="242" t="s">
        <v>484</v>
      </c>
      <c r="E2" s="242" t="s">
        <v>285</v>
      </c>
      <c r="F2" s="242" t="s">
        <v>285</v>
      </c>
      <c r="G2" s="242" t="s">
        <v>160</v>
      </c>
      <c r="H2" s="145">
        <v>2</v>
      </c>
      <c r="I2" s="145" t="s">
        <v>173</v>
      </c>
    </row>
    <row r="3" spans="1:9" ht="15" x14ac:dyDescent="0.25">
      <c r="A3" s="242" t="str">
        <f t="shared" si="0"/>
        <v>Akyea Stanley</v>
      </c>
      <c r="B3" s="242">
        <v>66237</v>
      </c>
      <c r="C3" s="243" t="s">
        <v>481</v>
      </c>
      <c r="D3" s="243" t="s">
        <v>482</v>
      </c>
      <c r="E3" s="243" t="s">
        <v>285</v>
      </c>
      <c r="F3" s="243" t="s">
        <v>285</v>
      </c>
      <c r="G3" s="243" t="s">
        <v>160</v>
      </c>
      <c r="H3" s="145">
        <v>2</v>
      </c>
      <c r="I3" s="145" t="s">
        <v>173</v>
      </c>
    </row>
    <row r="4" spans="1:9" ht="15" x14ac:dyDescent="0.25">
      <c r="A4" s="242" t="str">
        <f t="shared" si="0"/>
        <v>Bachor Edyta</v>
      </c>
      <c r="B4" s="242">
        <v>54941</v>
      </c>
      <c r="C4" s="243" t="s">
        <v>422</v>
      </c>
      <c r="D4" s="243" t="s">
        <v>423</v>
      </c>
      <c r="E4" s="243" t="s">
        <v>424</v>
      </c>
      <c r="F4" s="243" t="s">
        <v>424</v>
      </c>
      <c r="G4" s="243" t="s">
        <v>188</v>
      </c>
      <c r="H4" s="145">
        <v>4</v>
      </c>
      <c r="I4" s="145" t="s">
        <v>173</v>
      </c>
    </row>
    <row r="5" spans="1:9" ht="15" x14ac:dyDescent="0.25">
      <c r="A5" s="242" t="str">
        <f t="shared" si="0"/>
        <v>Badura Bernadetta</v>
      </c>
      <c r="B5" s="242">
        <v>27068</v>
      </c>
      <c r="C5" s="243" t="s">
        <v>416</v>
      </c>
      <c r="D5" s="243" t="s">
        <v>417</v>
      </c>
      <c r="E5" s="243" t="s">
        <v>216</v>
      </c>
      <c r="F5" s="243" t="s">
        <v>216</v>
      </c>
      <c r="G5" s="243" t="s">
        <v>188</v>
      </c>
      <c r="H5" s="145">
        <v>8</v>
      </c>
      <c r="I5" s="145" t="s">
        <v>173</v>
      </c>
    </row>
    <row r="6" spans="1:9" ht="15" x14ac:dyDescent="0.25">
      <c r="A6" s="242" t="str">
        <f t="shared" si="0"/>
        <v>Bak Anna</v>
      </c>
      <c r="B6" s="242">
        <v>49986</v>
      </c>
      <c r="C6" s="243" t="s">
        <v>277</v>
      </c>
      <c r="D6" s="243" t="s">
        <v>388</v>
      </c>
      <c r="E6" s="243" t="s">
        <v>326</v>
      </c>
      <c r="F6" s="243" t="s">
        <v>326</v>
      </c>
      <c r="G6" s="243" t="s">
        <v>158</v>
      </c>
      <c r="H6" s="145">
        <v>5</v>
      </c>
      <c r="I6" s="145" t="s">
        <v>173</v>
      </c>
    </row>
    <row r="7" spans="1:9" ht="15" x14ac:dyDescent="0.25">
      <c r="A7" s="242" t="str">
        <f t="shared" si="0"/>
        <v>Bianchi Agnieszka</v>
      </c>
      <c r="B7" s="242">
        <v>44537</v>
      </c>
      <c r="C7" s="243" t="s">
        <v>306</v>
      </c>
      <c r="D7" s="243" t="s">
        <v>366</v>
      </c>
      <c r="E7" s="243" t="s">
        <v>252</v>
      </c>
      <c r="F7" s="243" t="s">
        <v>252</v>
      </c>
      <c r="G7" s="243" t="s">
        <v>178</v>
      </c>
      <c r="H7" s="145">
        <v>5</v>
      </c>
      <c r="I7" s="145" t="s">
        <v>174</v>
      </c>
    </row>
    <row r="8" spans="1:9" ht="15" x14ac:dyDescent="0.25">
      <c r="A8" s="242" t="str">
        <f t="shared" si="0"/>
        <v>Bielicka Zaneta</v>
      </c>
      <c r="B8" s="242">
        <v>57242</v>
      </c>
      <c r="C8" s="243" t="s">
        <v>264</v>
      </c>
      <c r="D8" s="243" t="s">
        <v>265</v>
      </c>
      <c r="E8" s="243" t="s">
        <v>266</v>
      </c>
      <c r="F8" s="243" t="s">
        <v>266</v>
      </c>
      <c r="G8" s="243" t="s">
        <v>172</v>
      </c>
      <c r="H8" s="145">
        <v>2</v>
      </c>
      <c r="I8" s="145" t="s">
        <v>174</v>
      </c>
    </row>
    <row r="9" spans="1:9" ht="15" x14ac:dyDescent="0.25">
      <c r="A9" s="242" t="str">
        <f t="shared" si="0"/>
        <v>Biernacki Grzegorz</v>
      </c>
      <c r="B9" s="242">
        <v>36884</v>
      </c>
      <c r="C9" s="243" t="s">
        <v>221</v>
      </c>
      <c r="D9" s="243" t="s">
        <v>379</v>
      </c>
      <c r="E9" s="243" t="s">
        <v>274</v>
      </c>
      <c r="F9" s="243" t="s">
        <v>380</v>
      </c>
      <c r="G9" s="243" t="s">
        <v>158</v>
      </c>
      <c r="H9" s="145">
        <v>6</v>
      </c>
      <c r="I9" s="145" t="s">
        <v>174</v>
      </c>
    </row>
    <row r="10" spans="1:9" ht="15" x14ac:dyDescent="0.25">
      <c r="A10" s="242" t="str">
        <f t="shared" si="0"/>
        <v>Bogusz Miroslaw</v>
      </c>
      <c r="B10" s="242">
        <v>45593</v>
      </c>
      <c r="C10" s="243" t="s">
        <v>435</v>
      </c>
      <c r="D10" s="243" t="s">
        <v>436</v>
      </c>
      <c r="E10" s="243" t="s">
        <v>252</v>
      </c>
      <c r="F10" s="243" t="s">
        <v>279</v>
      </c>
      <c r="G10" s="243" t="s">
        <v>179</v>
      </c>
      <c r="H10" s="145">
        <v>5</v>
      </c>
      <c r="I10" s="145" t="s">
        <v>174</v>
      </c>
    </row>
    <row r="11" spans="1:9" ht="15" x14ac:dyDescent="0.25">
      <c r="A11" s="242" t="str">
        <f t="shared" si="0"/>
        <v>Borowicz Bartosz</v>
      </c>
      <c r="B11" s="242">
        <v>34636</v>
      </c>
      <c r="C11" s="243" t="s">
        <v>301</v>
      </c>
      <c r="D11" s="243" t="s">
        <v>302</v>
      </c>
      <c r="E11" s="243" t="s">
        <v>274</v>
      </c>
      <c r="F11" s="243" t="s">
        <v>274</v>
      </c>
      <c r="G11" s="243" t="s">
        <v>153</v>
      </c>
      <c r="H11" s="145">
        <v>5</v>
      </c>
      <c r="I11" s="145" t="s">
        <v>173</v>
      </c>
    </row>
    <row r="12" spans="1:9" ht="15" x14ac:dyDescent="0.25">
      <c r="A12" s="242" t="str">
        <f t="shared" si="0"/>
        <v>Borowski Andrzej</v>
      </c>
      <c r="B12" s="242">
        <v>20293</v>
      </c>
      <c r="C12" s="243" t="s">
        <v>280</v>
      </c>
      <c r="D12" s="243" t="s">
        <v>295</v>
      </c>
      <c r="E12" s="243" t="s">
        <v>216</v>
      </c>
      <c r="F12" s="243" t="s">
        <v>294</v>
      </c>
      <c r="G12" s="243" t="s">
        <v>153</v>
      </c>
      <c r="H12" s="145">
        <v>7</v>
      </c>
      <c r="I12" s="145" t="s">
        <v>174</v>
      </c>
    </row>
    <row r="13" spans="1:9" ht="15" x14ac:dyDescent="0.25">
      <c r="A13" s="242" t="str">
        <f t="shared" si="0"/>
        <v>Boryn Piotr</v>
      </c>
      <c r="B13" s="242">
        <v>46390</v>
      </c>
      <c r="C13" s="243" t="s">
        <v>236</v>
      </c>
      <c r="D13" s="243" t="s">
        <v>309</v>
      </c>
      <c r="E13" s="243" t="s">
        <v>252</v>
      </c>
      <c r="F13" s="243" t="s">
        <v>294</v>
      </c>
      <c r="G13" s="243" t="s">
        <v>153</v>
      </c>
      <c r="H13" s="145">
        <v>4</v>
      </c>
      <c r="I13" s="145" t="s">
        <v>174</v>
      </c>
    </row>
    <row r="14" spans="1:9" ht="15" x14ac:dyDescent="0.25">
      <c r="A14" s="242" t="str">
        <f t="shared" si="0"/>
        <v>Bronowski Damian</v>
      </c>
      <c r="B14" s="242">
        <v>34290</v>
      </c>
      <c r="C14" s="243" t="s">
        <v>393</v>
      </c>
      <c r="D14" s="243" t="s">
        <v>394</v>
      </c>
      <c r="E14" s="243" t="s">
        <v>252</v>
      </c>
      <c r="F14" s="243" t="s">
        <v>252</v>
      </c>
      <c r="G14" s="243" t="s">
        <v>158</v>
      </c>
      <c r="H14" s="145">
        <v>4</v>
      </c>
      <c r="I14" s="145" t="s">
        <v>173</v>
      </c>
    </row>
    <row r="15" spans="1:9" ht="15" x14ac:dyDescent="0.25">
      <c r="A15" s="242" t="str">
        <f t="shared" si="0"/>
        <v>Chetnik Michal</v>
      </c>
      <c r="B15" s="242">
        <v>55667</v>
      </c>
      <c r="C15" s="243" t="s">
        <v>239</v>
      </c>
      <c r="D15" s="243" t="s">
        <v>315</v>
      </c>
      <c r="E15" s="243" t="s">
        <v>279</v>
      </c>
      <c r="F15" s="243" t="s">
        <v>279</v>
      </c>
      <c r="G15" s="243" t="s">
        <v>153</v>
      </c>
      <c r="H15" s="145">
        <v>3</v>
      </c>
      <c r="I15" s="145" t="s">
        <v>174</v>
      </c>
    </row>
    <row r="16" spans="1:9" ht="15" x14ac:dyDescent="0.25">
      <c r="A16" s="242" t="str">
        <f t="shared" si="0"/>
        <v>Chrominski Wojciech</v>
      </c>
      <c r="B16" s="242">
        <v>52960</v>
      </c>
      <c r="C16" s="243" t="s">
        <v>359</v>
      </c>
      <c r="D16" s="243" t="s">
        <v>360</v>
      </c>
      <c r="E16" s="243" t="s">
        <v>279</v>
      </c>
      <c r="F16" s="243" t="s">
        <v>279</v>
      </c>
      <c r="G16" s="243" t="s">
        <v>177</v>
      </c>
      <c r="H16" s="145">
        <v>3</v>
      </c>
      <c r="I16" s="145" t="s">
        <v>174</v>
      </c>
    </row>
    <row r="17" spans="1:9" ht="15" x14ac:dyDescent="0.25">
      <c r="A17" s="242" t="str">
        <f t="shared" si="0"/>
        <v>Ciesielski Robert</v>
      </c>
      <c r="B17" s="242">
        <v>54704</v>
      </c>
      <c r="C17" s="243" t="s">
        <v>427</v>
      </c>
      <c r="D17" s="243" t="s">
        <v>480</v>
      </c>
      <c r="E17" s="243" t="s">
        <v>244</v>
      </c>
      <c r="F17" s="243" t="s">
        <v>337</v>
      </c>
      <c r="G17" s="243" t="s">
        <v>160</v>
      </c>
      <c r="H17" s="145">
        <v>3</v>
      </c>
      <c r="I17" s="145" t="s">
        <v>173</v>
      </c>
    </row>
    <row r="18" spans="1:9" ht="15" x14ac:dyDescent="0.25">
      <c r="A18" s="242" t="str">
        <f t="shared" si="0"/>
        <v>Cwiek Pawel</v>
      </c>
      <c r="B18" s="242">
        <v>50711</v>
      </c>
      <c r="C18" s="243" t="s">
        <v>310</v>
      </c>
      <c r="D18" s="243" t="s">
        <v>397</v>
      </c>
      <c r="E18" s="243" t="s">
        <v>252</v>
      </c>
      <c r="F18" s="243" t="s">
        <v>252</v>
      </c>
      <c r="G18" s="243" t="s">
        <v>158</v>
      </c>
      <c r="H18" s="145">
        <v>4</v>
      </c>
      <c r="I18" s="145" t="s">
        <v>174</v>
      </c>
    </row>
    <row r="19" spans="1:9" ht="15" x14ac:dyDescent="0.25">
      <c r="A19" s="242" t="str">
        <f t="shared" si="0"/>
        <v>Czapko Piotr</v>
      </c>
      <c r="B19" s="242">
        <v>22831</v>
      </c>
      <c r="C19" s="243" t="s">
        <v>236</v>
      </c>
      <c r="D19" s="243" t="s">
        <v>457</v>
      </c>
      <c r="E19" s="243" t="s">
        <v>252</v>
      </c>
      <c r="F19" s="243" t="s">
        <v>252</v>
      </c>
      <c r="G19" s="243" t="s">
        <v>154</v>
      </c>
      <c r="H19" s="145">
        <v>4</v>
      </c>
      <c r="I19" s="145" t="s">
        <v>174</v>
      </c>
    </row>
    <row r="20" spans="1:9" ht="15" x14ac:dyDescent="0.25">
      <c r="A20" s="242" t="str">
        <f t="shared" si="0"/>
        <v>Czarnak Piotr</v>
      </c>
      <c r="B20" s="242">
        <v>52065</v>
      </c>
      <c r="C20" s="243" t="s">
        <v>236</v>
      </c>
      <c r="D20" s="243" t="s">
        <v>370</v>
      </c>
      <c r="E20" s="243" t="s">
        <v>252</v>
      </c>
      <c r="F20" s="243" t="s">
        <v>252</v>
      </c>
      <c r="G20" s="243" t="s">
        <v>178</v>
      </c>
      <c r="H20" s="145">
        <v>4</v>
      </c>
      <c r="I20" s="145" t="s">
        <v>174</v>
      </c>
    </row>
    <row r="21" spans="1:9" ht="15" x14ac:dyDescent="0.25">
      <c r="A21" s="242" t="str">
        <f t="shared" si="0"/>
        <v>Czarnecki Artur</v>
      </c>
      <c r="B21" s="242">
        <v>46829</v>
      </c>
      <c r="C21" s="243" t="s">
        <v>256</v>
      </c>
      <c r="D21" s="243" t="s">
        <v>270</v>
      </c>
      <c r="E21" s="243" t="s">
        <v>216</v>
      </c>
      <c r="F21" s="243" t="s">
        <v>271</v>
      </c>
      <c r="G21" s="243" t="s">
        <v>159</v>
      </c>
      <c r="H21" s="145">
        <v>7</v>
      </c>
      <c r="I21" s="145" t="s">
        <v>173</v>
      </c>
    </row>
    <row r="22" spans="1:9" ht="15" x14ac:dyDescent="0.25">
      <c r="A22" s="242" t="str">
        <f t="shared" si="0"/>
        <v>Delikat Grzegorz</v>
      </c>
      <c r="B22" s="242">
        <v>48146</v>
      </c>
      <c r="C22" s="243" t="s">
        <v>221</v>
      </c>
      <c r="D22" s="243" t="s">
        <v>389</v>
      </c>
      <c r="E22" s="243" t="s">
        <v>252</v>
      </c>
      <c r="F22" s="243" t="s">
        <v>279</v>
      </c>
      <c r="G22" s="243" t="s">
        <v>158</v>
      </c>
      <c r="H22" s="145">
        <v>4</v>
      </c>
      <c r="I22" s="145" t="s">
        <v>173</v>
      </c>
    </row>
    <row r="23" spans="1:9" ht="15" x14ac:dyDescent="0.25">
      <c r="A23" s="242" t="str">
        <f t="shared" si="0"/>
        <v>Dolega-Otocki Andrzej</v>
      </c>
      <c r="B23" s="242">
        <v>55665</v>
      </c>
      <c r="C23" s="243" t="s">
        <v>280</v>
      </c>
      <c r="D23" s="243" t="s">
        <v>407</v>
      </c>
      <c r="E23" s="243" t="s">
        <v>285</v>
      </c>
      <c r="F23" s="243" t="s">
        <v>285</v>
      </c>
      <c r="G23" s="243" t="s">
        <v>158</v>
      </c>
      <c r="H23" s="145">
        <v>2</v>
      </c>
      <c r="I23" s="145" t="s">
        <v>174</v>
      </c>
    </row>
    <row r="24" spans="1:9" ht="15" x14ac:dyDescent="0.25">
      <c r="A24" s="242" t="str">
        <f t="shared" si="0"/>
        <v>Drozd Wojciech</v>
      </c>
      <c r="B24" s="242">
        <v>55031</v>
      </c>
      <c r="C24" s="243" t="s">
        <v>359</v>
      </c>
      <c r="D24" s="243" t="s">
        <v>478</v>
      </c>
      <c r="E24" s="243" t="s">
        <v>244</v>
      </c>
      <c r="F24" s="243" t="s">
        <v>479</v>
      </c>
      <c r="G24" s="243" t="s">
        <v>160</v>
      </c>
      <c r="H24" s="145">
        <v>3</v>
      </c>
      <c r="I24" s="145" t="s">
        <v>173</v>
      </c>
    </row>
    <row r="25" spans="1:9" ht="15" x14ac:dyDescent="0.25">
      <c r="A25" s="242" t="str">
        <f t="shared" si="0"/>
        <v>Dudek Tomasz</v>
      </c>
      <c r="B25" s="242">
        <v>55209</v>
      </c>
      <c r="C25" s="243" t="s">
        <v>275</v>
      </c>
      <c r="D25" s="243" t="s">
        <v>477</v>
      </c>
      <c r="E25" s="243" t="s">
        <v>279</v>
      </c>
      <c r="F25" s="243" t="s">
        <v>279</v>
      </c>
      <c r="G25" s="243" t="s">
        <v>160</v>
      </c>
      <c r="H25" s="145">
        <v>3</v>
      </c>
      <c r="I25" s="145" t="s">
        <v>173</v>
      </c>
    </row>
    <row r="26" spans="1:9" ht="15" x14ac:dyDescent="0.25">
      <c r="A26" s="242" t="str">
        <f t="shared" si="0"/>
        <v>Dudelewicz Jacek</v>
      </c>
      <c r="B26" s="242">
        <v>60363</v>
      </c>
      <c r="C26" s="243" t="s">
        <v>432</v>
      </c>
      <c r="D26" s="243" t="s">
        <v>463</v>
      </c>
      <c r="E26" s="243" t="s">
        <v>279</v>
      </c>
      <c r="F26" s="243" t="s">
        <v>279</v>
      </c>
      <c r="G26" s="243" t="s">
        <v>154</v>
      </c>
      <c r="H26" s="145">
        <v>3</v>
      </c>
      <c r="I26" s="145" t="s">
        <v>174</v>
      </c>
    </row>
    <row r="27" spans="1:9" ht="15" x14ac:dyDescent="0.25">
      <c r="A27" s="242" t="str">
        <f t="shared" si="0"/>
        <v>Duszczyk Rafal</v>
      </c>
      <c r="B27" s="242">
        <v>16848</v>
      </c>
      <c r="C27" s="243" t="s">
        <v>218</v>
      </c>
      <c r="D27" s="243" t="s">
        <v>219</v>
      </c>
      <c r="E27" s="243" t="s">
        <v>216</v>
      </c>
      <c r="F27" s="243" t="s">
        <v>220</v>
      </c>
      <c r="G27" s="243" t="s">
        <v>172</v>
      </c>
      <c r="H27" s="145">
        <v>7</v>
      </c>
      <c r="I27" s="145" t="s">
        <v>174</v>
      </c>
    </row>
    <row r="28" spans="1:9" ht="15" x14ac:dyDescent="0.25">
      <c r="A28" s="242" t="str">
        <f t="shared" si="0"/>
        <v>Filipek Michał</v>
      </c>
      <c r="B28" s="242">
        <v>56254</v>
      </c>
      <c r="C28" s="243" t="s">
        <v>464</v>
      </c>
      <c r="D28" s="243" t="s">
        <v>465</v>
      </c>
      <c r="E28" s="243" t="s">
        <v>426</v>
      </c>
      <c r="F28" s="243" t="s">
        <v>426</v>
      </c>
      <c r="G28" s="243" t="s">
        <v>154</v>
      </c>
      <c r="H28" s="145">
        <v>3</v>
      </c>
      <c r="I28" s="145" t="s">
        <v>174</v>
      </c>
    </row>
    <row r="29" spans="1:9" ht="15" x14ac:dyDescent="0.25">
      <c r="A29" s="242" t="str">
        <f t="shared" si="0"/>
        <v>Frej Tomasz</v>
      </c>
      <c r="B29" s="242">
        <v>31867</v>
      </c>
      <c r="C29" s="243" t="s">
        <v>275</v>
      </c>
      <c r="D29" s="243" t="s">
        <v>298</v>
      </c>
      <c r="E29" s="243" t="s">
        <v>274</v>
      </c>
      <c r="F29" s="243" t="s">
        <v>274</v>
      </c>
      <c r="G29" s="243" t="s">
        <v>153</v>
      </c>
      <c r="H29" s="145">
        <v>6</v>
      </c>
      <c r="I29" s="145" t="s">
        <v>173</v>
      </c>
    </row>
    <row r="30" spans="1:9" ht="15" x14ac:dyDescent="0.25">
      <c r="A30" s="242" t="str">
        <f t="shared" si="0"/>
        <v>Gajda Maciej</v>
      </c>
      <c r="B30" s="242">
        <v>52904</v>
      </c>
      <c r="C30" s="243" t="s">
        <v>347</v>
      </c>
      <c r="D30" s="243" t="s">
        <v>439</v>
      </c>
      <c r="E30" s="243" t="s">
        <v>279</v>
      </c>
      <c r="F30" s="243" t="s">
        <v>279</v>
      </c>
      <c r="G30" s="243" t="s">
        <v>179</v>
      </c>
      <c r="H30" s="145">
        <v>4</v>
      </c>
      <c r="I30" s="145" t="s">
        <v>174</v>
      </c>
    </row>
    <row r="31" spans="1:9" ht="15" x14ac:dyDescent="0.25">
      <c r="A31" s="242" t="str">
        <f t="shared" si="0"/>
        <v>Gajdzinski Jakub</v>
      </c>
      <c r="B31" s="242">
        <v>46449</v>
      </c>
      <c r="C31" s="243" t="s">
        <v>455</v>
      </c>
      <c r="D31" s="243" t="s">
        <v>456</v>
      </c>
      <c r="E31" s="243" t="s">
        <v>252</v>
      </c>
      <c r="F31" s="243" t="s">
        <v>252</v>
      </c>
      <c r="G31" s="243" t="s">
        <v>154</v>
      </c>
      <c r="H31" s="145">
        <v>5</v>
      </c>
      <c r="I31" s="145" t="s">
        <v>174</v>
      </c>
    </row>
    <row r="32" spans="1:9" ht="15" x14ac:dyDescent="0.25">
      <c r="A32" s="242" t="str">
        <f t="shared" si="0"/>
        <v>Galecka Katarzyna</v>
      </c>
      <c r="B32" s="242">
        <v>49711</v>
      </c>
      <c r="C32" s="243" t="s">
        <v>242</v>
      </c>
      <c r="D32" s="243" t="s">
        <v>243</v>
      </c>
      <c r="E32" s="243" t="s">
        <v>244</v>
      </c>
      <c r="F32" s="243" t="s">
        <v>244</v>
      </c>
      <c r="G32" s="243" t="s">
        <v>172</v>
      </c>
      <c r="H32" s="145">
        <v>4</v>
      </c>
      <c r="I32" s="145" t="s">
        <v>173</v>
      </c>
    </row>
    <row r="33" spans="1:9" ht="15" x14ac:dyDescent="0.25">
      <c r="A33" s="242" t="str">
        <f t="shared" si="0"/>
        <v>Gancarczyk Andrzej</v>
      </c>
      <c r="B33" s="242">
        <v>61727</v>
      </c>
      <c r="C33" s="243" t="s">
        <v>280</v>
      </c>
      <c r="D33" s="243" t="s">
        <v>281</v>
      </c>
      <c r="E33" s="243" t="s">
        <v>279</v>
      </c>
      <c r="F33" s="243" t="s">
        <v>279</v>
      </c>
      <c r="G33" s="243" t="s">
        <v>159</v>
      </c>
      <c r="H33" s="145">
        <v>4</v>
      </c>
      <c r="I33" s="145" t="s">
        <v>173</v>
      </c>
    </row>
    <row r="34" spans="1:9" ht="15" x14ac:dyDescent="0.25">
      <c r="A34" s="242" t="str">
        <f t="shared" ref="A34:A65" si="1">D34&amp;" "&amp;C34</f>
        <v>Ganczar Michal</v>
      </c>
      <c r="B34" s="242">
        <v>52777</v>
      </c>
      <c r="C34" s="243" t="s">
        <v>239</v>
      </c>
      <c r="D34" s="243" t="s">
        <v>401</v>
      </c>
      <c r="E34" s="243" t="s">
        <v>279</v>
      </c>
      <c r="F34" s="243" t="s">
        <v>279</v>
      </c>
      <c r="G34" s="243" t="s">
        <v>158</v>
      </c>
      <c r="H34" s="145">
        <v>3</v>
      </c>
      <c r="I34" s="145" t="s">
        <v>174</v>
      </c>
    </row>
    <row r="35" spans="1:9" ht="15" x14ac:dyDescent="0.25">
      <c r="A35" s="242" t="str">
        <f t="shared" si="1"/>
        <v>Giers Marcin</v>
      </c>
      <c r="B35" s="242">
        <v>31095</v>
      </c>
      <c r="C35" s="243" t="s">
        <v>351</v>
      </c>
      <c r="D35" s="243" t="s">
        <v>446</v>
      </c>
      <c r="E35" s="243" t="s">
        <v>274</v>
      </c>
      <c r="F35" s="243" t="s">
        <v>274</v>
      </c>
      <c r="G35" s="243" t="s">
        <v>154</v>
      </c>
      <c r="H35" s="145">
        <v>7</v>
      </c>
      <c r="I35" s="145" t="s">
        <v>174</v>
      </c>
    </row>
    <row r="36" spans="1:9" ht="15" x14ac:dyDescent="0.25">
      <c r="A36" s="242" t="str">
        <f t="shared" si="1"/>
        <v>Glixelli Tomasz</v>
      </c>
      <c r="B36" s="242">
        <v>30375</v>
      </c>
      <c r="C36" s="243" t="s">
        <v>275</v>
      </c>
      <c r="D36" s="243" t="s">
        <v>473</v>
      </c>
      <c r="E36" s="243" t="s">
        <v>274</v>
      </c>
      <c r="F36" s="243" t="s">
        <v>274</v>
      </c>
      <c r="G36" s="243" t="s">
        <v>160</v>
      </c>
      <c r="H36" s="145">
        <v>6</v>
      </c>
      <c r="I36" s="145" t="s">
        <v>173</v>
      </c>
    </row>
    <row r="37" spans="1:9" ht="15" x14ac:dyDescent="0.25">
      <c r="A37" s="242" t="str">
        <f t="shared" si="1"/>
        <v>Gogolewska-Kawka Beata</v>
      </c>
      <c r="B37" s="242">
        <v>30458</v>
      </c>
      <c r="C37" s="243" t="s">
        <v>227</v>
      </c>
      <c r="D37" s="243" t="s">
        <v>228</v>
      </c>
      <c r="E37" s="243" t="s">
        <v>229</v>
      </c>
      <c r="F37" s="243" t="s">
        <v>229</v>
      </c>
      <c r="G37" s="243" t="s">
        <v>172</v>
      </c>
      <c r="H37" s="145">
        <v>5</v>
      </c>
      <c r="I37" s="145" t="s">
        <v>174</v>
      </c>
    </row>
    <row r="38" spans="1:9" ht="15" x14ac:dyDescent="0.25">
      <c r="A38" s="242" t="str">
        <f t="shared" si="1"/>
        <v>Gorka Piotr</v>
      </c>
      <c r="B38" s="242">
        <v>62888</v>
      </c>
      <c r="C38" s="243" t="s">
        <v>236</v>
      </c>
      <c r="D38" s="243" t="s">
        <v>237</v>
      </c>
      <c r="E38" s="243" t="s">
        <v>238</v>
      </c>
      <c r="F38" s="243" t="s">
        <v>238</v>
      </c>
      <c r="G38" s="243" t="s">
        <v>172</v>
      </c>
      <c r="H38" s="145">
        <v>4</v>
      </c>
      <c r="I38" s="145" t="s">
        <v>173</v>
      </c>
    </row>
    <row r="39" spans="1:9" ht="15" x14ac:dyDescent="0.25">
      <c r="A39" s="242" t="str">
        <f t="shared" si="1"/>
        <v>Gorski Marek</v>
      </c>
      <c r="B39" s="242">
        <v>37376</v>
      </c>
      <c r="C39" s="243" t="s">
        <v>296</v>
      </c>
      <c r="D39" s="243" t="s">
        <v>297</v>
      </c>
      <c r="E39" s="243" t="s">
        <v>274</v>
      </c>
      <c r="F39" s="243" t="s">
        <v>274</v>
      </c>
      <c r="G39" s="243" t="s">
        <v>153</v>
      </c>
      <c r="H39" s="145">
        <v>6</v>
      </c>
      <c r="I39" s="145" t="s">
        <v>174</v>
      </c>
    </row>
    <row r="40" spans="1:9" ht="15" x14ac:dyDescent="0.25">
      <c r="A40" s="242" t="str">
        <f t="shared" si="1"/>
        <v>Grabowiecka-Bukat Monika</v>
      </c>
      <c r="B40" s="242">
        <v>29703</v>
      </c>
      <c r="C40" s="243" t="s">
        <v>268</v>
      </c>
      <c r="D40" s="243" t="s">
        <v>333</v>
      </c>
      <c r="E40" s="243" t="s">
        <v>334</v>
      </c>
      <c r="F40" s="243" t="s">
        <v>334</v>
      </c>
      <c r="G40" s="243" t="s">
        <v>175</v>
      </c>
      <c r="H40" s="145">
        <v>4</v>
      </c>
      <c r="I40" s="145" t="s">
        <v>174</v>
      </c>
    </row>
    <row r="41" spans="1:9" ht="15" x14ac:dyDescent="0.25">
      <c r="A41" s="242" t="str">
        <f t="shared" si="1"/>
        <v>Guz vel Guzowski Piotr</v>
      </c>
      <c r="B41" s="242">
        <v>34480</v>
      </c>
      <c r="C41" s="243" t="s">
        <v>236</v>
      </c>
      <c r="D41" s="243" t="s">
        <v>449</v>
      </c>
      <c r="E41" s="243" t="s">
        <v>274</v>
      </c>
      <c r="F41" s="243" t="s">
        <v>444</v>
      </c>
      <c r="G41" s="243" t="s">
        <v>154</v>
      </c>
      <c r="H41" s="145">
        <v>5</v>
      </c>
      <c r="I41" s="145" t="s">
        <v>174</v>
      </c>
    </row>
    <row r="42" spans="1:9" ht="15" x14ac:dyDescent="0.25">
      <c r="A42" s="242" t="str">
        <f t="shared" si="1"/>
        <v>Hetmanski Lukasz</v>
      </c>
      <c r="B42" s="242">
        <v>62490</v>
      </c>
      <c r="C42" s="243" t="s">
        <v>283</v>
      </c>
      <c r="D42" s="243" t="s">
        <v>284</v>
      </c>
      <c r="E42" s="243" t="s">
        <v>285</v>
      </c>
      <c r="F42" s="243" t="s">
        <v>285</v>
      </c>
      <c r="G42" s="243" t="s">
        <v>159</v>
      </c>
      <c r="H42" s="145">
        <v>3</v>
      </c>
      <c r="I42" s="145" t="s">
        <v>173</v>
      </c>
    </row>
    <row r="43" spans="1:9" ht="15" x14ac:dyDescent="0.25">
      <c r="A43" s="242" t="str">
        <f t="shared" si="1"/>
        <v>Iaremov Oleg</v>
      </c>
      <c r="B43" s="242">
        <v>52928</v>
      </c>
      <c r="C43" s="243" t="s">
        <v>313</v>
      </c>
      <c r="D43" s="243" t="s">
        <v>314</v>
      </c>
      <c r="E43" s="243" t="s">
        <v>279</v>
      </c>
      <c r="F43" s="243" t="s">
        <v>279</v>
      </c>
      <c r="G43" s="243" t="s">
        <v>153</v>
      </c>
      <c r="H43" s="145">
        <v>3</v>
      </c>
      <c r="I43" s="145" t="s">
        <v>174</v>
      </c>
    </row>
    <row r="44" spans="1:9" ht="15" x14ac:dyDescent="0.25">
      <c r="A44" s="242" t="str">
        <f t="shared" si="1"/>
        <v>Izdebska Karolina</v>
      </c>
      <c r="B44" s="242">
        <v>46475</v>
      </c>
      <c r="C44" s="243" t="s">
        <v>224</v>
      </c>
      <c r="D44" s="243" t="s">
        <v>267</v>
      </c>
      <c r="E44" s="243" t="s">
        <v>266</v>
      </c>
      <c r="F44" s="243" t="s">
        <v>266</v>
      </c>
      <c r="G44" s="243" t="s">
        <v>172</v>
      </c>
      <c r="H44" s="145">
        <v>2</v>
      </c>
      <c r="I44" s="145" t="s">
        <v>174</v>
      </c>
    </row>
    <row r="45" spans="1:9" ht="15" x14ac:dyDescent="0.25">
      <c r="A45" s="242" t="str">
        <f t="shared" si="1"/>
        <v>Jajesnica Michal</v>
      </c>
      <c r="B45" s="242">
        <v>56563</v>
      </c>
      <c r="C45" s="243" t="s">
        <v>239</v>
      </c>
      <c r="D45" s="243" t="s">
        <v>282</v>
      </c>
      <c r="E45" s="243" t="s">
        <v>279</v>
      </c>
      <c r="F45" s="243" t="s">
        <v>279</v>
      </c>
      <c r="G45" s="243" t="s">
        <v>159</v>
      </c>
      <c r="H45" s="145">
        <v>3</v>
      </c>
      <c r="I45" s="145" t="s">
        <v>173</v>
      </c>
    </row>
    <row r="46" spans="1:9" ht="15" x14ac:dyDescent="0.25">
      <c r="A46" s="242" t="str">
        <f t="shared" si="1"/>
        <v>Jakubowski Pawel</v>
      </c>
      <c r="B46" s="242">
        <v>55485</v>
      </c>
      <c r="C46" s="243" t="s">
        <v>310</v>
      </c>
      <c r="D46" s="243" t="s">
        <v>462</v>
      </c>
      <c r="E46" s="243" t="s">
        <v>279</v>
      </c>
      <c r="F46" s="243" t="s">
        <v>279</v>
      </c>
      <c r="G46" s="243" t="s">
        <v>154</v>
      </c>
      <c r="H46" s="145">
        <v>3</v>
      </c>
      <c r="I46" s="145" t="s">
        <v>174</v>
      </c>
    </row>
    <row r="47" spans="1:9" ht="15" x14ac:dyDescent="0.25">
      <c r="A47" s="242" t="str">
        <f t="shared" si="1"/>
        <v>Janda Anna</v>
      </c>
      <c r="B47" s="242">
        <v>54086</v>
      </c>
      <c r="C47" s="243" t="s">
        <v>277</v>
      </c>
      <c r="D47" s="243" t="s">
        <v>395</v>
      </c>
      <c r="E47" s="243" t="s">
        <v>252</v>
      </c>
      <c r="F47" s="243" t="s">
        <v>376</v>
      </c>
      <c r="G47" s="243" t="s">
        <v>158</v>
      </c>
      <c r="H47" s="145">
        <v>4</v>
      </c>
      <c r="I47" s="145" t="s">
        <v>174</v>
      </c>
    </row>
    <row r="48" spans="1:9" ht="15" x14ac:dyDescent="0.25">
      <c r="A48" s="242" t="str">
        <f t="shared" si="1"/>
        <v>Jaroszewicz Iza</v>
      </c>
      <c r="B48" s="242">
        <v>26591</v>
      </c>
      <c r="C48" s="243" t="s">
        <v>214</v>
      </c>
      <c r="D48" s="243" t="s">
        <v>215</v>
      </c>
      <c r="E48" s="243" t="s">
        <v>216</v>
      </c>
      <c r="F48" s="243" t="s">
        <v>217</v>
      </c>
      <c r="G48" s="243" t="s">
        <v>172</v>
      </c>
      <c r="H48" s="145">
        <v>7</v>
      </c>
      <c r="I48" s="145" t="s">
        <v>174</v>
      </c>
    </row>
    <row r="49" spans="1:9" ht="15" x14ac:dyDescent="0.25">
      <c r="A49" s="242" t="str">
        <f t="shared" si="1"/>
        <v>Jaworski Tomasz</v>
      </c>
      <c r="B49" s="242">
        <v>54826</v>
      </c>
      <c r="C49" s="243" t="s">
        <v>275</v>
      </c>
      <c r="D49" s="243" t="s">
        <v>276</v>
      </c>
      <c r="E49" s="243" t="s">
        <v>274</v>
      </c>
      <c r="F49" s="243" t="s">
        <v>274</v>
      </c>
      <c r="G49" s="243" t="s">
        <v>159</v>
      </c>
      <c r="H49" s="145">
        <v>5</v>
      </c>
      <c r="I49" s="145" t="s">
        <v>173</v>
      </c>
    </row>
    <row r="50" spans="1:9" ht="15" x14ac:dyDescent="0.25">
      <c r="A50" s="242" t="str">
        <f t="shared" si="1"/>
        <v>Jedra Pawel</v>
      </c>
      <c r="B50" s="242">
        <v>34641</v>
      </c>
      <c r="C50" s="243" t="s">
        <v>310</v>
      </c>
      <c r="D50" s="243" t="s">
        <v>434</v>
      </c>
      <c r="E50" s="243" t="s">
        <v>252</v>
      </c>
      <c r="F50" s="243" t="s">
        <v>279</v>
      </c>
      <c r="G50" s="243" t="s">
        <v>179</v>
      </c>
      <c r="H50" s="145">
        <v>5</v>
      </c>
      <c r="I50" s="145" t="s">
        <v>174</v>
      </c>
    </row>
    <row r="51" spans="1:9" ht="15" x14ac:dyDescent="0.25">
      <c r="A51" s="242" t="str">
        <f t="shared" si="1"/>
        <v>Jendrzejczak-Jendrzejewski Jaroslaw</v>
      </c>
      <c r="B51" s="242">
        <v>45145</v>
      </c>
      <c r="C51" s="243" t="s">
        <v>344</v>
      </c>
      <c r="D51" s="243" t="s">
        <v>345</v>
      </c>
      <c r="E51" s="243" t="s">
        <v>346</v>
      </c>
      <c r="F51" s="243" t="s">
        <v>346</v>
      </c>
      <c r="G51" s="243" t="s">
        <v>176</v>
      </c>
      <c r="H51" s="145">
        <v>4</v>
      </c>
      <c r="I51" s="145" t="s">
        <v>174</v>
      </c>
    </row>
    <row r="52" spans="1:9" ht="15" x14ac:dyDescent="0.25">
      <c r="A52" s="242" t="str">
        <f t="shared" si="1"/>
        <v>Kapera Grzegorz</v>
      </c>
      <c r="B52" s="242">
        <v>53839</v>
      </c>
      <c r="C52" s="243" t="s">
        <v>221</v>
      </c>
      <c r="D52" s="243" t="s">
        <v>260</v>
      </c>
      <c r="E52" s="243" t="s">
        <v>261</v>
      </c>
      <c r="F52" s="243" t="s">
        <v>241</v>
      </c>
      <c r="G52" s="243" t="s">
        <v>172</v>
      </c>
      <c r="H52" s="145">
        <v>4</v>
      </c>
      <c r="I52" s="145" t="s">
        <v>173</v>
      </c>
    </row>
    <row r="53" spans="1:9" ht="15" x14ac:dyDescent="0.25">
      <c r="A53" s="242" t="str">
        <f t="shared" si="1"/>
        <v>Karwat Pawel</v>
      </c>
      <c r="B53" s="242">
        <v>39063</v>
      </c>
      <c r="C53" s="243" t="s">
        <v>310</v>
      </c>
      <c r="D53" s="243" t="s">
        <v>311</v>
      </c>
      <c r="E53" s="243" t="s">
        <v>252</v>
      </c>
      <c r="F53" s="243" t="s">
        <v>252</v>
      </c>
      <c r="G53" s="243" t="s">
        <v>153</v>
      </c>
      <c r="H53" s="145">
        <v>4</v>
      </c>
      <c r="I53" s="145" t="s">
        <v>174</v>
      </c>
    </row>
    <row r="54" spans="1:9" ht="15" x14ac:dyDescent="0.25">
      <c r="A54" s="242" t="str">
        <f t="shared" si="1"/>
        <v>Kasprzak Kordian</v>
      </c>
      <c r="B54" s="242">
        <v>34139</v>
      </c>
      <c r="C54" s="243" t="s">
        <v>390</v>
      </c>
      <c r="D54" s="243" t="s">
        <v>352</v>
      </c>
      <c r="E54" s="243" t="s">
        <v>252</v>
      </c>
      <c r="F54" s="243" t="s">
        <v>252</v>
      </c>
      <c r="G54" s="243" t="s">
        <v>158</v>
      </c>
      <c r="H54" s="145">
        <v>4</v>
      </c>
      <c r="I54" s="145" t="s">
        <v>174</v>
      </c>
    </row>
    <row r="55" spans="1:9" ht="15" x14ac:dyDescent="0.25">
      <c r="A55" s="242" t="str">
        <f t="shared" si="1"/>
        <v>Kasprzak Marcin</v>
      </c>
      <c r="B55" s="242">
        <v>23844</v>
      </c>
      <c r="C55" s="243" t="s">
        <v>351</v>
      </c>
      <c r="D55" s="243" t="s">
        <v>352</v>
      </c>
      <c r="E55" s="243" t="s">
        <v>216</v>
      </c>
      <c r="F55" s="243" t="s">
        <v>353</v>
      </c>
      <c r="G55" s="243" t="s">
        <v>177</v>
      </c>
      <c r="H55" s="145">
        <v>7</v>
      </c>
      <c r="I55" s="145" t="s">
        <v>174</v>
      </c>
    </row>
    <row r="56" spans="1:9" ht="15" x14ac:dyDescent="0.25">
      <c r="A56" s="242" t="str">
        <f t="shared" si="1"/>
        <v>Kaszyca Rafał</v>
      </c>
      <c r="B56" s="242">
        <v>66025</v>
      </c>
      <c r="C56" s="243" t="s">
        <v>287</v>
      </c>
      <c r="D56" s="243" t="s">
        <v>316</v>
      </c>
      <c r="E56" s="243" t="s">
        <v>279</v>
      </c>
      <c r="F56" s="243" t="s">
        <v>279</v>
      </c>
      <c r="G56" s="243" t="s">
        <v>153</v>
      </c>
      <c r="H56" s="145">
        <v>3</v>
      </c>
      <c r="I56" s="145" t="s">
        <v>173</v>
      </c>
    </row>
    <row r="57" spans="1:9" ht="15" x14ac:dyDescent="0.25">
      <c r="A57" s="242" t="str">
        <f t="shared" si="1"/>
        <v>Kepa Michal</v>
      </c>
      <c r="B57" s="242">
        <v>55668</v>
      </c>
      <c r="C57" s="243" t="s">
        <v>239</v>
      </c>
      <c r="D57" s="243" t="s">
        <v>402</v>
      </c>
      <c r="E57" s="243" t="s">
        <v>285</v>
      </c>
      <c r="F57" s="243" t="s">
        <v>279</v>
      </c>
      <c r="G57" s="243" t="s">
        <v>158</v>
      </c>
      <c r="H57" s="145">
        <v>3</v>
      </c>
      <c r="I57" s="145" t="s">
        <v>174</v>
      </c>
    </row>
    <row r="58" spans="1:9" ht="15" x14ac:dyDescent="0.25">
      <c r="A58" s="242" t="str">
        <f t="shared" si="1"/>
        <v>Kilinska Maria</v>
      </c>
      <c r="B58" s="242">
        <v>40313</v>
      </c>
      <c r="C58" s="243" t="s">
        <v>327</v>
      </c>
      <c r="D58" s="243" t="s">
        <v>328</v>
      </c>
      <c r="E58" s="243" t="s">
        <v>324</v>
      </c>
      <c r="F58" s="243" t="s">
        <v>324</v>
      </c>
      <c r="G58" s="243" t="s">
        <v>175</v>
      </c>
      <c r="H58" s="145">
        <v>5</v>
      </c>
      <c r="I58" s="145" t="s">
        <v>174</v>
      </c>
    </row>
    <row r="59" spans="1:9" ht="15" x14ac:dyDescent="0.25">
      <c r="A59" s="242" t="str">
        <f t="shared" si="1"/>
        <v>Kita Artur</v>
      </c>
      <c r="B59" s="242">
        <v>65321</v>
      </c>
      <c r="C59" s="243" t="s">
        <v>256</v>
      </c>
      <c r="D59" s="243" t="s">
        <v>257</v>
      </c>
      <c r="E59" s="243" t="s">
        <v>258</v>
      </c>
      <c r="F59" s="243" t="s">
        <v>258</v>
      </c>
      <c r="G59" s="243" t="s">
        <v>172</v>
      </c>
      <c r="H59" s="145">
        <v>4</v>
      </c>
      <c r="I59" s="145" t="s">
        <v>174</v>
      </c>
    </row>
    <row r="60" spans="1:9" ht="15" x14ac:dyDescent="0.25">
      <c r="A60" s="242" t="str">
        <f t="shared" si="1"/>
        <v>Klosinski Adam</v>
      </c>
      <c r="B60" s="242">
        <v>55663</v>
      </c>
      <c r="C60" s="243" t="s">
        <v>391</v>
      </c>
      <c r="D60" s="243" t="s">
        <v>392</v>
      </c>
      <c r="E60" s="243" t="s">
        <v>252</v>
      </c>
      <c r="F60" s="243" t="s">
        <v>252</v>
      </c>
      <c r="G60" s="243" t="s">
        <v>158</v>
      </c>
      <c r="H60" s="145">
        <v>4</v>
      </c>
      <c r="I60" s="145" t="s">
        <v>174</v>
      </c>
    </row>
    <row r="61" spans="1:9" ht="15" x14ac:dyDescent="0.25">
      <c r="A61" s="242" t="str">
        <f t="shared" si="1"/>
        <v>Kmieciak Piotr</v>
      </c>
      <c r="B61" s="242">
        <v>64928</v>
      </c>
      <c r="C61" s="243" t="s">
        <v>236</v>
      </c>
      <c r="D61" s="243" t="s">
        <v>262</v>
      </c>
      <c r="E61" s="243" t="s">
        <v>261</v>
      </c>
      <c r="F61" s="243" t="s">
        <v>263</v>
      </c>
      <c r="G61" s="243" t="s">
        <v>172</v>
      </c>
      <c r="H61" s="145">
        <v>3</v>
      </c>
      <c r="I61" s="145" t="s">
        <v>174</v>
      </c>
    </row>
    <row r="62" spans="1:9" ht="15" x14ac:dyDescent="0.25">
      <c r="A62" s="242" t="str">
        <f t="shared" si="1"/>
        <v>Knapczyk Lukasz</v>
      </c>
      <c r="B62" s="242">
        <v>36006</v>
      </c>
      <c r="C62" s="243" t="s">
        <v>283</v>
      </c>
      <c r="D62" s="243" t="s">
        <v>447</v>
      </c>
      <c r="E62" s="243" t="s">
        <v>7</v>
      </c>
      <c r="F62" s="243" t="s">
        <v>7</v>
      </c>
      <c r="G62" s="243" t="s">
        <v>154</v>
      </c>
      <c r="H62" s="145">
        <v>6</v>
      </c>
      <c r="I62" s="145" t="s">
        <v>173</v>
      </c>
    </row>
    <row r="63" spans="1:9" ht="15" x14ac:dyDescent="0.25">
      <c r="A63" s="242" t="str">
        <f t="shared" si="1"/>
        <v>Kolodziej Ireneusz</v>
      </c>
      <c r="B63" s="242">
        <v>33713</v>
      </c>
      <c r="C63" s="243" t="s">
        <v>361</v>
      </c>
      <c r="D63" s="243" t="s">
        <v>362</v>
      </c>
      <c r="E63" s="243" t="s">
        <v>320</v>
      </c>
      <c r="F63" s="243" t="s">
        <v>334</v>
      </c>
      <c r="G63" s="243" t="s">
        <v>178</v>
      </c>
      <c r="H63" s="145">
        <v>8</v>
      </c>
      <c r="I63" s="145" t="s">
        <v>174</v>
      </c>
    </row>
    <row r="64" spans="1:9" ht="15" x14ac:dyDescent="0.25">
      <c r="A64" s="242" t="str">
        <f t="shared" si="1"/>
        <v>Kolodziejski Maciej</v>
      </c>
      <c r="B64" s="242">
        <v>55201</v>
      </c>
      <c r="C64" s="243" t="s">
        <v>347</v>
      </c>
      <c r="D64" s="243" t="s">
        <v>348</v>
      </c>
      <c r="E64" s="243" t="s">
        <v>279</v>
      </c>
      <c r="F64" s="243" t="s">
        <v>279</v>
      </c>
      <c r="G64" s="243" t="s">
        <v>176</v>
      </c>
      <c r="H64" s="145">
        <v>3</v>
      </c>
      <c r="I64" s="145" t="s">
        <v>174</v>
      </c>
    </row>
    <row r="65" spans="1:9" ht="15" x14ac:dyDescent="0.25">
      <c r="A65" s="242" t="str">
        <f t="shared" si="1"/>
        <v>Konarzewski Piotr</v>
      </c>
      <c r="B65" s="242">
        <v>24137</v>
      </c>
      <c r="C65" s="243" t="s">
        <v>236</v>
      </c>
      <c r="D65" s="243" t="s">
        <v>293</v>
      </c>
      <c r="E65" s="243" t="s">
        <v>216</v>
      </c>
      <c r="F65" s="243" t="s">
        <v>294</v>
      </c>
      <c r="G65" s="243" t="s">
        <v>153</v>
      </c>
      <c r="H65" s="145">
        <v>8</v>
      </c>
      <c r="I65" s="145" t="s">
        <v>174</v>
      </c>
    </row>
    <row r="66" spans="1:9" ht="15" x14ac:dyDescent="0.25">
      <c r="A66" s="242" t="str">
        <f t="shared" ref="A66:A97" si="2">D66&amp;" "&amp;C66</f>
        <v>Krolikowska Agnieszka</v>
      </c>
      <c r="B66" s="242">
        <v>34453</v>
      </c>
      <c r="C66" s="243" t="s">
        <v>306</v>
      </c>
      <c r="D66" s="243" t="s">
        <v>307</v>
      </c>
      <c r="E66" s="243" t="s">
        <v>252</v>
      </c>
      <c r="F66" s="243" t="s">
        <v>252</v>
      </c>
      <c r="G66" s="243" t="s">
        <v>153</v>
      </c>
      <c r="H66" s="145">
        <v>4</v>
      </c>
      <c r="I66" s="145" t="s">
        <v>174</v>
      </c>
    </row>
    <row r="67" spans="1:9" ht="15" x14ac:dyDescent="0.25">
      <c r="A67" s="242" t="str">
        <f t="shared" si="2"/>
        <v>Krupka-Opas Iwona</v>
      </c>
      <c r="B67" s="242">
        <v>52778</v>
      </c>
      <c r="C67" s="243" t="s">
        <v>398</v>
      </c>
      <c r="D67" s="243" t="s">
        <v>399</v>
      </c>
      <c r="E67" s="243" t="s">
        <v>279</v>
      </c>
      <c r="F67" s="243" t="s">
        <v>279</v>
      </c>
      <c r="G67" s="243" t="s">
        <v>158</v>
      </c>
      <c r="H67" s="145">
        <v>4</v>
      </c>
      <c r="I67" s="145" t="s">
        <v>174</v>
      </c>
    </row>
    <row r="68" spans="1:9" ht="15" x14ac:dyDescent="0.25">
      <c r="A68" s="242" t="str">
        <f t="shared" si="2"/>
        <v>Krzan Sylwia</v>
      </c>
      <c r="B68" s="242">
        <v>69456</v>
      </c>
      <c r="C68" s="243" t="s">
        <v>412</v>
      </c>
      <c r="D68" s="243" t="s">
        <v>413</v>
      </c>
      <c r="E68" s="243" t="s">
        <v>279</v>
      </c>
      <c r="F68" s="243" t="s">
        <v>279</v>
      </c>
      <c r="G68" s="243" t="s">
        <v>158</v>
      </c>
      <c r="H68" s="145">
        <v>2</v>
      </c>
      <c r="I68" s="145" t="s">
        <v>174</v>
      </c>
    </row>
    <row r="69" spans="1:9" ht="15" x14ac:dyDescent="0.25">
      <c r="A69" s="242" t="str">
        <f t="shared" si="2"/>
        <v>Ksiazkiewicz Beata</v>
      </c>
      <c r="B69" s="242">
        <v>43054</v>
      </c>
      <c r="C69" s="243" t="s">
        <v>227</v>
      </c>
      <c r="D69" s="243" t="s">
        <v>248</v>
      </c>
      <c r="E69" s="243" t="s">
        <v>249</v>
      </c>
      <c r="F69" s="243" t="s">
        <v>249</v>
      </c>
      <c r="G69" s="243" t="s">
        <v>172</v>
      </c>
      <c r="H69" s="145">
        <v>4</v>
      </c>
      <c r="I69" s="145" t="s">
        <v>173</v>
      </c>
    </row>
    <row r="70" spans="1:9" ht="15" x14ac:dyDescent="0.25">
      <c r="A70" s="242" t="str">
        <f t="shared" si="2"/>
        <v>Kupczyk Maciej</v>
      </c>
      <c r="B70" s="242">
        <v>38087</v>
      </c>
      <c r="C70" s="243" t="s">
        <v>347</v>
      </c>
      <c r="D70" s="243" t="s">
        <v>452</v>
      </c>
      <c r="E70" s="243" t="s">
        <v>252</v>
      </c>
      <c r="F70" s="243" t="s">
        <v>252</v>
      </c>
      <c r="G70" s="243" t="s">
        <v>154</v>
      </c>
      <c r="H70" s="145">
        <v>5</v>
      </c>
      <c r="I70" s="145" t="s">
        <v>174</v>
      </c>
    </row>
    <row r="71" spans="1:9" ht="15" x14ac:dyDescent="0.25">
      <c r="A71" s="242" t="str">
        <f t="shared" si="2"/>
        <v>Kwiatkowski Ariel</v>
      </c>
      <c r="B71" s="242">
        <v>69518</v>
      </c>
      <c r="C71" s="243" t="s">
        <v>405</v>
      </c>
      <c r="D71" s="243" t="s">
        <v>406</v>
      </c>
      <c r="E71" s="243" t="s">
        <v>279</v>
      </c>
      <c r="F71" s="243" t="s">
        <v>279</v>
      </c>
      <c r="G71" s="243" t="s">
        <v>158</v>
      </c>
      <c r="H71" s="145">
        <v>2</v>
      </c>
      <c r="I71" s="145" t="s">
        <v>173</v>
      </c>
    </row>
    <row r="72" spans="1:9" ht="15" x14ac:dyDescent="0.25">
      <c r="A72" s="242" t="str">
        <f t="shared" si="2"/>
        <v>Lacny Tomasz</v>
      </c>
      <c r="B72" s="242">
        <v>53838</v>
      </c>
      <c r="C72" s="243" t="s">
        <v>275</v>
      </c>
      <c r="D72" s="243" t="s">
        <v>312</v>
      </c>
      <c r="E72" s="243" t="s">
        <v>279</v>
      </c>
      <c r="F72" s="243" t="s">
        <v>279</v>
      </c>
      <c r="G72" s="243" t="s">
        <v>153</v>
      </c>
      <c r="H72" s="145">
        <v>4</v>
      </c>
      <c r="I72" s="145" t="s">
        <v>173</v>
      </c>
    </row>
    <row r="73" spans="1:9" ht="15" x14ac:dyDescent="0.25">
      <c r="A73" s="242" t="str">
        <f t="shared" si="2"/>
        <v>Laskowska Ilona</v>
      </c>
      <c r="B73" s="242">
        <v>66205</v>
      </c>
      <c r="C73" s="243" t="s">
        <v>470</v>
      </c>
      <c r="D73" s="243" t="s">
        <v>471</v>
      </c>
      <c r="E73" s="243" t="s">
        <v>285</v>
      </c>
      <c r="F73" s="243" t="s">
        <v>279</v>
      </c>
      <c r="G73" s="243" t="s">
        <v>154</v>
      </c>
      <c r="H73" s="145">
        <v>2</v>
      </c>
      <c r="I73" s="145" t="s">
        <v>174</v>
      </c>
    </row>
    <row r="74" spans="1:9" ht="15" x14ac:dyDescent="0.25">
      <c r="A74" s="242" t="str">
        <f t="shared" si="2"/>
        <v>Lech Kuba</v>
      </c>
      <c r="B74" s="242">
        <v>34824</v>
      </c>
      <c r="C74" s="243" t="s">
        <v>245</v>
      </c>
      <c r="D74" s="243" t="s">
        <v>246</v>
      </c>
      <c r="E74" s="243" t="s">
        <v>247</v>
      </c>
      <c r="F74" s="243" t="s">
        <v>247</v>
      </c>
      <c r="G74" s="243" t="s">
        <v>172</v>
      </c>
      <c r="H74" s="145">
        <v>4</v>
      </c>
      <c r="I74" s="145" t="s">
        <v>174</v>
      </c>
    </row>
    <row r="75" spans="1:9" ht="15" x14ac:dyDescent="0.25">
      <c r="A75" s="242" t="str">
        <f t="shared" si="2"/>
        <v>Legucki Michal</v>
      </c>
      <c r="B75" s="242">
        <v>62399</v>
      </c>
      <c r="C75" s="243" t="s">
        <v>239</v>
      </c>
      <c r="D75" s="243" t="s">
        <v>358</v>
      </c>
      <c r="E75" s="243" t="s">
        <v>279</v>
      </c>
      <c r="F75" s="243" t="s">
        <v>279</v>
      </c>
      <c r="G75" s="243" t="s">
        <v>177</v>
      </c>
      <c r="H75" s="145">
        <v>3</v>
      </c>
      <c r="I75" s="145" t="s">
        <v>174</v>
      </c>
    </row>
    <row r="76" spans="1:9" ht="15" x14ac:dyDescent="0.25">
      <c r="A76" s="242" t="str">
        <f t="shared" si="2"/>
        <v>Leszczynska Agnieszka</v>
      </c>
      <c r="B76" s="242">
        <v>69127</v>
      </c>
      <c r="C76" s="243" t="s">
        <v>306</v>
      </c>
      <c r="D76" s="243" t="s">
        <v>374</v>
      </c>
      <c r="E76" s="243" t="s">
        <v>279</v>
      </c>
      <c r="F76" s="243" t="s">
        <v>279</v>
      </c>
      <c r="G76" s="243" t="s">
        <v>178</v>
      </c>
      <c r="H76" s="145">
        <v>2</v>
      </c>
      <c r="I76" s="145" t="s">
        <v>173</v>
      </c>
    </row>
    <row r="77" spans="1:9" ht="15" x14ac:dyDescent="0.25">
      <c r="A77" s="242" t="str">
        <f t="shared" si="2"/>
        <v>Leszczynski Mariusz</v>
      </c>
      <c r="B77" s="242">
        <v>28118</v>
      </c>
      <c r="C77" s="243" t="s">
        <v>338</v>
      </c>
      <c r="D77" s="243" t="s">
        <v>339</v>
      </c>
      <c r="E77" s="243" t="s">
        <v>216</v>
      </c>
      <c r="F77" s="243" t="s">
        <v>216</v>
      </c>
      <c r="G77" s="243" t="s">
        <v>176</v>
      </c>
      <c r="H77" s="145">
        <v>7</v>
      </c>
      <c r="I77" s="145" t="s">
        <v>173</v>
      </c>
    </row>
    <row r="78" spans="1:9" ht="15" x14ac:dyDescent="0.25">
      <c r="A78" s="242" t="str">
        <f t="shared" si="2"/>
        <v>Lewonowski Maciej</v>
      </c>
      <c r="B78" s="242">
        <v>25021</v>
      </c>
      <c r="C78" s="243" t="s">
        <v>347</v>
      </c>
      <c r="D78" s="243" t="s">
        <v>445</v>
      </c>
      <c r="E78" s="243" t="s">
        <v>216</v>
      </c>
      <c r="F78" s="243" t="s">
        <v>216</v>
      </c>
      <c r="G78" s="243" t="s">
        <v>154</v>
      </c>
      <c r="H78" s="145">
        <v>7</v>
      </c>
      <c r="I78" s="145" t="s">
        <v>174</v>
      </c>
    </row>
    <row r="79" spans="1:9" ht="15" x14ac:dyDescent="0.25">
      <c r="A79" s="242" t="str">
        <f t="shared" si="2"/>
        <v>Lipiecki Bogumil</v>
      </c>
      <c r="B79" s="242">
        <v>26954</v>
      </c>
      <c r="C79" s="243" t="s">
        <v>340</v>
      </c>
      <c r="D79" s="243" t="s">
        <v>341</v>
      </c>
      <c r="E79" s="243" t="s">
        <v>342</v>
      </c>
      <c r="F79" s="243" t="s">
        <v>342</v>
      </c>
      <c r="G79" s="243" t="s">
        <v>176</v>
      </c>
      <c r="H79" s="145">
        <v>6</v>
      </c>
      <c r="I79" s="145" t="s">
        <v>174</v>
      </c>
    </row>
    <row r="80" spans="1:9" ht="15" x14ac:dyDescent="0.25">
      <c r="A80" s="242" t="str">
        <f t="shared" si="2"/>
        <v>Lukasiewicz Sebastian</v>
      </c>
      <c r="B80" s="242">
        <v>29344</v>
      </c>
      <c r="C80" s="243" t="s">
        <v>250</v>
      </c>
      <c r="D80" s="243" t="s">
        <v>251</v>
      </c>
      <c r="E80" s="243" t="s">
        <v>252</v>
      </c>
      <c r="F80" s="243" t="s">
        <v>252</v>
      </c>
      <c r="G80" s="243" t="s">
        <v>172</v>
      </c>
      <c r="H80" s="145">
        <v>4</v>
      </c>
      <c r="I80" s="244" t="s">
        <v>174</v>
      </c>
    </row>
    <row r="81" spans="1:9" ht="15" x14ac:dyDescent="0.25">
      <c r="A81" s="242" t="str">
        <f t="shared" si="2"/>
        <v>Lukawski Tomasz</v>
      </c>
      <c r="B81" s="245">
        <v>41935</v>
      </c>
      <c r="C81" s="246" t="s">
        <v>275</v>
      </c>
      <c r="D81" s="246" t="s">
        <v>331</v>
      </c>
      <c r="E81" s="246" t="s">
        <v>252</v>
      </c>
      <c r="F81" s="246" t="s">
        <v>332</v>
      </c>
      <c r="G81" s="246" t="s">
        <v>175</v>
      </c>
      <c r="H81" s="244">
        <v>4</v>
      </c>
      <c r="I81" s="145" t="s">
        <v>174</v>
      </c>
    </row>
    <row r="82" spans="1:9" ht="15" x14ac:dyDescent="0.25">
      <c r="A82" s="242" t="str">
        <f t="shared" si="2"/>
        <v>Macias Marcin</v>
      </c>
      <c r="B82" s="242">
        <v>44320</v>
      </c>
      <c r="C82" s="243" t="s">
        <v>351</v>
      </c>
      <c r="D82" s="243" t="s">
        <v>356</v>
      </c>
      <c r="E82" s="243" t="s">
        <v>252</v>
      </c>
      <c r="F82" s="243" t="s">
        <v>357</v>
      </c>
      <c r="G82" s="243" t="s">
        <v>177</v>
      </c>
      <c r="H82" s="145">
        <v>4</v>
      </c>
      <c r="I82" s="145" t="s">
        <v>174</v>
      </c>
    </row>
    <row r="83" spans="1:9" ht="15" x14ac:dyDescent="0.25">
      <c r="A83" s="242" t="str">
        <f t="shared" si="2"/>
        <v>Maczka Marlena</v>
      </c>
      <c r="B83" s="242">
        <v>68360</v>
      </c>
      <c r="C83" s="243" t="s">
        <v>410</v>
      </c>
      <c r="D83" s="243" t="s">
        <v>411</v>
      </c>
      <c r="E83" s="243" t="s">
        <v>279</v>
      </c>
      <c r="F83" s="243" t="s">
        <v>279</v>
      </c>
      <c r="G83" s="243" t="s">
        <v>158</v>
      </c>
      <c r="H83" s="145">
        <v>2</v>
      </c>
      <c r="I83" s="145" t="s">
        <v>174</v>
      </c>
    </row>
    <row r="84" spans="1:9" ht="15" x14ac:dyDescent="0.25">
      <c r="A84" s="242" t="str">
        <f t="shared" si="2"/>
        <v>Madalinska Malgorzata</v>
      </c>
      <c r="B84" s="242">
        <v>38896</v>
      </c>
      <c r="C84" s="243" t="s">
        <v>329</v>
      </c>
      <c r="D84" s="243" t="s">
        <v>330</v>
      </c>
      <c r="E84" s="243" t="s">
        <v>244</v>
      </c>
      <c r="F84" s="243" t="s">
        <v>244</v>
      </c>
      <c r="G84" s="243" t="s">
        <v>175</v>
      </c>
      <c r="H84" s="145">
        <v>5</v>
      </c>
      <c r="I84" s="145" t="s">
        <v>174</v>
      </c>
    </row>
    <row r="85" spans="1:9" ht="15" x14ac:dyDescent="0.25">
      <c r="A85" s="242" t="str">
        <f t="shared" si="2"/>
        <v>Maj Maciej</v>
      </c>
      <c r="B85" s="242">
        <v>56512</v>
      </c>
      <c r="C85" s="243" t="s">
        <v>347</v>
      </c>
      <c r="D85" s="243" t="s">
        <v>425</v>
      </c>
      <c r="E85" s="243" t="s">
        <v>426</v>
      </c>
      <c r="F85" s="243" t="s">
        <v>426</v>
      </c>
      <c r="G85" s="243" t="s">
        <v>188</v>
      </c>
      <c r="H85" s="145">
        <v>4</v>
      </c>
      <c r="I85" s="145" t="s">
        <v>174</v>
      </c>
    </row>
    <row r="86" spans="1:9" ht="15" x14ac:dyDescent="0.25">
      <c r="A86" s="242" t="str">
        <f t="shared" si="2"/>
        <v>Malanowska Joanna</v>
      </c>
      <c r="B86" s="242">
        <v>49058</v>
      </c>
      <c r="C86" s="243" t="s">
        <v>367</v>
      </c>
      <c r="D86" s="243" t="s">
        <v>368</v>
      </c>
      <c r="E86" s="243" t="s">
        <v>369</v>
      </c>
      <c r="F86" s="243" t="s">
        <v>369</v>
      </c>
      <c r="G86" s="243" t="s">
        <v>178</v>
      </c>
      <c r="H86" s="145">
        <v>5</v>
      </c>
      <c r="I86" s="145" t="s">
        <v>174</v>
      </c>
    </row>
    <row r="87" spans="1:9" ht="15" x14ac:dyDescent="0.25">
      <c r="A87" s="242" t="str">
        <f t="shared" si="2"/>
        <v>Malanowski Grzegorz</v>
      </c>
      <c r="B87" s="242">
        <v>43497</v>
      </c>
      <c r="C87" s="243" t="s">
        <v>221</v>
      </c>
      <c r="D87" s="243" t="s">
        <v>365</v>
      </c>
      <c r="E87" s="243" t="s">
        <v>326</v>
      </c>
      <c r="F87" s="243" t="s">
        <v>334</v>
      </c>
      <c r="G87" s="243" t="s">
        <v>178</v>
      </c>
      <c r="H87" s="145">
        <v>5</v>
      </c>
      <c r="I87" s="145" t="s">
        <v>174</v>
      </c>
    </row>
    <row r="88" spans="1:9" ht="15" x14ac:dyDescent="0.25">
      <c r="A88" s="242" t="str">
        <f t="shared" si="2"/>
        <v>Malinowska-Glixelli Iwona</v>
      </c>
      <c r="B88" s="242">
        <v>30377</v>
      </c>
      <c r="C88" s="243" t="s">
        <v>398</v>
      </c>
      <c r="D88" s="243" t="s">
        <v>476</v>
      </c>
      <c r="E88" s="243" t="s">
        <v>252</v>
      </c>
      <c r="F88" s="243" t="s">
        <v>252</v>
      </c>
      <c r="G88" s="243" t="s">
        <v>160</v>
      </c>
      <c r="H88" s="145">
        <v>4</v>
      </c>
      <c r="I88" s="145" t="s">
        <v>173</v>
      </c>
    </row>
    <row r="89" spans="1:9" ht="15" x14ac:dyDescent="0.25">
      <c r="A89" s="242" t="str">
        <f t="shared" si="2"/>
        <v>Marecik Kinga</v>
      </c>
      <c r="B89" s="242">
        <v>63700</v>
      </c>
      <c r="C89" s="243" t="s">
        <v>291</v>
      </c>
      <c r="D89" s="243" t="s">
        <v>292</v>
      </c>
      <c r="E89" s="243" t="s">
        <v>279</v>
      </c>
      <c r="F89" s="243" t="s">
        <v>279</v>
      </c>
      <c r="G89" s="243" t="s">
        <v>159</v>
      </c>
      <c r="H89" s="145">
        <v>2</v>
      </c>
      <c r="I89" s="145" t="s">
        <v>173</v>
      </c>
    </row>
    <row r="90" spans="1:9" ht="15" x14ac:dyDescent="0.25">
      <c r="A90" s="242" t="str">
        <f t="shared" si="2"/>
        <v>Marzec Jacek</v>
      </c>
      <c r="B90" s="242">
        <v>34057</v>
      </c>
      <c r="C90" s="243" t="s">
        <v>432</v>
      </c>
      <c r="D90" s="243" t="s">
        <v>433</v>
      </c>
      <c r="E90" s="243" t="s">
        <v>274</v>
      </c>
      <c r="F90" s="243" t="s">
        <v>274</v>
      </c>
      <c r="G90" s="243" t="s">
        <v>179</v>
      </c>
      <c r="H90" s="145">
        <v>5</v>
      </c>
      <c r="I90" s="145" t="s">
        <v>173</v>
      </c>
    </row>
    <row r="91" spans="1:9" ht="15" x14ac:dyDescent="0.25">
      <c r="A91" s="242" t="str">
        <f t="shared" si="2"/>
        <v>Mazgaj Marta</v>
      </c>
      <c r="B91" s="242">
        <v>45794</v>
      </c>
      <c r="C91" s="243" t="s">
        <v>384</v>
      </c>
      <c r="D91" s="243" t="s">
        <v>385</v>
      </c>
      <c r="E91" s="243" t="s">
        <v>252</v>
      </c>
      <c r="F91" s="243" t="s">
        <v>252</v>
      </c>
      <c r="G91" s="243" t="s">
        <v>158</v>
      </c>
      <c r="H91" s="145">
        <v>5</v>
      </c>
      <c r="I91" s="145" t="s">
        <v>173</v>
      </c>
    </row>
    <row r="92" spans="1:9" ht="15" x14ac:dyDescent="0.25">
      <c r="A92" s="242" t="str">
        <f t="shared" si="2"/>
        <v>Mikolowicz Pawel</v>
      </c>
      <c r="B92" s="242">
        <v>46283</v>
      </c>
      <c r="C92" s="243" t="s">
        <v>310</v>
      </c>
      <c r="D92" s="243" t="s">
        <v>325</v>
      </c>
      <c r="E92" s="243" t="s">
        <v>326</v>
      </c>
      <c r="F92" s="243" t="s">
        <v>326</v>
      </c>
      <c r="G92" s="243" t="s">
        <v>175</v>
      </c>
      <c r="H92" s="145">
        <v>5</v>
      </c>
      <c r="I92" s="145" t="s">
        <v>174</v>
      </c>
    </row>
    <row r="93" spans="1:9" ht="15" x14ac:dyDescent="0.25">
      <c r="A93" s="242" t="str">
        <f t="shared" si="2"/>
        <v>Milewski Michal</v>
      </c>
      <c r="B93" s="242">
        <v>39356</v>
      </c>
      <c r="C93" s="243" t="s">
        <v>239</v>
      </c>
      <c r="D93" s="243" t="s">
        <v>383</v>
      </c>
      <c r="E93" s="243" t="s">
        <v>376</v>
      </c>
      <c r="F93" s="243" t="s">
        <v>376</v>
      </c>
      <c r="G93" s="243" t="s">
        <v>158</v>
      </c>
      <c r="H93" s="145">
        <v>5</v>
      </c>
      <c r="I93" s="145" t="s">
        <v>174</v>
      </c>
    </row>
    <row r="94" spans="1:9" ht="15" x14ac:dyDescent="0.25">
      <c r="A94" s="242" t="str">
        <f t="shared" si="2"/>
        <v>Moskala Pawel</v>
      </c>
      <c r="B94" s="242">
        <v>34012</v>
      </c>
      <c r="C94" s="243" t="s">
        <v>310</v>
      </c>
      <c r="D94" s="243" t="s">
        <v>419</v>
      </c>
      <c r="E94" s="243" t="s">
        <v>274</v>
      </c>
      <c r="F94" s="243" t="s">
        <v>274</v>
      </c>
      <c r="G94" s="243" t="s">
        <v>188</v>
      </c>
      <c r="H94" s="145">
        <v>7</v>
      </c>
      <c r="I94" s="145" t="s">
        <v>173</v>
      </c>
    </row>
    <row r="95" spans="1:9" ht="15" x14ac:dyDescent="0.25">
      <c r="A95" s="242" t="str">
        <f t="shared" si="2"/>
        <v>Mowinska Kasia</v>
      </c>
      <c r="B95" s="242">
        <v>28920</v>
      </c>
      <c r="C95" s="243" t="s">
        <v>233</v>
      </c>
      <c r="D95" s="243" t="s">
        <v>234</v>
      </c>
      <c r="E95" s="243" t="s">
        <v>235</v>
      </c>
      <c r="F95" s="243" t="s">
        <v>235</v>
      </c>
      <c r="G95" s="243" t="s">
        <v>172</v>
      </c>
      <c r="H95" s="145">
        <v>5</v>
      </c>
      <c r="I95" s="145" t="s">
        <v>174</v>
      </c>
    </row>
    <row r="96" spans="1:9" ht="15" x14ac:dyDescent="0.25">
      <c r="A96" s="242" t="str">
        <f t="shared" si="2"/>
        <v>Murzyn Aleksandra</v>
      </c>
      <c r="B96" s="242">
        <v>65767</v>
      </c>
      <c r="C96" s="243" t="s">
        <v>289</v>
      </c>
      <c r="D96" s="243" t="s">
        <v>466</v>
      </c>
      <c r="E96" s="243" t="s">
        <v>285</v>
      </c>
      <c r="F96" s="243" t="s">
        <v>285</v>
      </c>
      <c r="G96" s="243" t="s">
        <v>154</v>
      </c>
      <c r="H96" s="145">
        <v>3</v>
      </c>
      <c r="I96" s="145" t="s">
        <v>173</v>
      </c>
    </row>
    <row r="97" spans="1:9" ht="15" x14ac:dyDescent="0.25">
      <c r="A97" s="242" t="str">
        <f t="shared" si="2"/>
        <v>Nalezyta Ewa</v>
      </c>
      <c r="B97" s="242">
        <v>69661</v>
      </c>
      <c r="C97" s="243" t="s">
        <v>230</v>
      </c>
      <c r="D97" s="243" t="s">
        <v>231</v>
      </c>
      <c r="E97" s="243" t="s">
        <v>232</v>
      </c>
      <c r="F97" s="243" t="s">
        <v>232</v>
      </c>
      <c r="G97" s="243" t="s">
        <v>172</v>
      </c>
      <c r="H97" s="145">
        <v>5</v>
      </c>
      <c r="I97" s="145" t="s">
        <v>174</v>
      </c>
    </row>
    <row r="98" spans="1:9" ht="15" x14ac:dyDescent="0.25">
      <c r="A98" s="242" t="str">
        <f t="shared" ref="A98:A129" si="3">D98&amp;" "&amp;C98</f>
        <v>Napiorkowski Piotr</v>
      </c>
      <c r="B98" s="242">
        <v>37892</v>
      </c>
      <c r="C98" s="243" t="s">
        <v>236</v>
      </c>
      <c r="D98" s="243" t="s">
        <v>343</v>
      </c>
      <c r="E98" s="243" t="s">
        <v>252</v>
      </c>
      <c r="F98" s="243" t="s">
        <v>252</v>
      </c>
      <c r="G98" s="243" t="s">
        <v>176</v>
      </c>
      <c r="H98" s="145">
        <v>4</v>
      </c>
      <c r="I98" s="145" t="s">
        <v>174</v>
      </c>
    </row>
    <row r="99" spans="1:9" ht="15" x14ac:dyDescent="0.25">
      <c r="A99" s="242" t="str">
        <f t="shared" si="3"/>
        <v>Niewiadomski Bartosz</v>
      </c>
      <c r="B99" s="242">
        <v>45966</v>
      </c>
      <c r="C99" s="243" t="s">
        <v>301</v>
      </c>
      <c r="D99" s="243" t="s">
        <v>414</v>
      </c>
      <c r="E99" s="243" t="s">
        <v>320</v>
      </c>
      <c r="F99" s="243" t="s">
        <v>415</v>
      </c>
      <c r="G99" s="243" t="s">
        <v>188</v>
      </c>
      <c r="H99" s="145">
        <v>8</v>
      </c>
      <c r="I99" s="145" t="s">
        <v>174</v>
      </c>
    </row>
    <row r="100" spans="1:9" ht="15" x14ac:dyDescent="0.25">
      <c r="A100" s="242" t="str">
        <f t="shared" si="3"/>
        <v>Nowak Rafał</v>
      </c>
      <c r="B100" s="242">
        <v>66026</v>
      </c>
      <c r="C100" s="243" t="s">
        <v>287</v>
      </c>
      <c r="D100" s="243" t="s">
        <v>288</v>
      </c>
      <c r="E100" s="243" t="s">
        <v>285</v>
      </c>
      <c r="F100" s="243" t="s">
        <v>285</v>
      </c>
      <c r="G100" s="243" t="s">
        <v>159</v>
      </c>
      <c r="H100" s="145">
        <v>2</v>
      </c>
      <c r="I100" s="145" t="s">
        <v>173</v>
      </c>
    </row>
    <row r="101" spans="1:9" ht="15" x14ac:dyDescent="0.25">
      <c r="A101" s="242" t="str">
        <f t="shared" si="3"/>
        <v>Nyc Grzegorz</v>
      </c>
      <c r="B101" s="242">
        <v>32578</v>
      </c>
      <c r="C101" s="243" t="s">
        <v>221</v>
      </c>
      <c r="D101" s="243" t="s">
        <v>222</v>
      </c>
      <c r="E101" s="243" t="s">
        <v>223</v>
      </c>
      <c r="F101" s="243" t="s">
        <v>223</v>
      </c>
      <c r="G101" s="243" t="s">
        <v>172</v>
      </c>
      <c r="H101" s="145">
        <v>6</v>
      </c>
      <c r="I101" s="145" t="s">
        <v>174</v>
      </c>
    </row>
    <row r="102" spans="1:9" ht="15" x14ac:dyDescent="0.25">
      <c r="A102" s="242" t="str">
        <f t="shared" si="3"/>
        <v>Okulowska Agnieszka</v>
      </c>
      <c r="B102" s="242">
        <v>46239</v>
      </c>
      <c r="C102" s="243" t="s">
        <v>306</v>
      </c>
      <c r="D102" s="243" t="s">
        <v>355</v>
      </c>
      <c r="E102" s="243" t="s">
        <v>252</v>
      </c>
      <c r="F102" s="243" t="s">
        <v>252</v>
      </c>
      <c r="G102" s="243" t="s">
        <v>177</v>
      </c>
      <c r="H102" s="145">
        <v>5</v>
      </c>
      <c r="I102" s="145" t="s">
        <v>174</v>
      </c>
    </row>
    <row r="103" spans="1:9" ht="15" x14ac:dyDescent="0.25">
      <c r="A103" s="242" t="str">
        <f t="shared" si="3"/>
        <v>Oleszkowicz Marek</v>
      </c>
      <c r="B103" s="242">
        <v>62411</v>
      </c>
      <c r="C103" s="243" t="s">
        <v>296</v>
      </c>
      <c r="D103" s="243" t="s">
        <v>364</v>
      </c>
      <c r="E103" s="243" t="s">
        <v>326</v>
      </c>
      <c r="F103" s="243" t="s">
        <v>326</v>
      </c>
      <c r="G103" s="243" t="s">
        <v>178</v>
      </c>
      <c r="H103" s="145">
        <v>5</v>
      </c>
      <c r="I103" s="145" t="s">
        <v>174</v>
      </c>
    </row>
    <row r="104" spans="1:9" ht="15" x14ac:dyDescent="0.25">
      <c r="A104" s="242" t="str">
        <f t="shared" si="3"/>
        <v>Olszewska Aleksandra</v>
      </c>
      <c r="B104" s="242">
        <v>64140</v>
      </c>
      <c r="C104" s="243" t="s">
        <v>289</v>
      </c>
      <c r="D104" s="243" t="s">
        <v>290</v>
      </c>
      <c r="E104" s="243" t="s">
        <v>279</v>
      </c>
      <c r="F104" s="243" t="s">
        <v>279</v>
      </c>
      <c r="G104" s="243" t="s">
        <v>159</v>
      </c>
      <c r="H104" s="145">
        <v>2</v>
      </c>
      <c r="I104" s="145" t="s">
        <v>173</v>
      </c>
    </row>
    <row r="105" spans="1:9" ht="15" x14ac:dyDescent="0.25">
      <c r="A105" s="242" t="str">
        <f t="shared" si="3"/>
        <v>Opolski Pawel</v>
      </c>
      <c r="B105" s="242">
        <v>30301</v>
      </c>
      <c r="C105" s="243" t="s">
        <v>310</v>
      </c>
      <c r="D105" s="243" t="s">
        <v>458</v>
      </c>
      <c r="E105" s="243" t="s">
        <v>459</v>
      </c>
      <c r="F105" s="243" t="s">
        <v>459</v>
      </c>
      <c r="G105" s="243" t="s">
        <v>154</v>
      </c>
      <c r="H105" s="145">
        <v>3</v>
      </c>
      <c r="I105" s="145" t="s">
        <v>174</v>
      </c>
    </row>
    <row r="106" spans="1:9" ht="15" x14ac:dyDescent="0.25">
      <c r="A106" s="242" t="str">
        <f t="shared" si="3"/>
        <v>Ozog Ewa</v>
      </c>
      <c r="B106" s="242">
        <v>62491</v>
      </c>
      <c r="C106" s="243" t="s">
        <v>230</v>
      </c>
      <c r="D106" s="243" t="s">
        <v>286</v>
      </c>
      <c r="E106" s="243" t="s">
        <v>279</v>
      </c>
      <c r="F106" s="243" t="s">
        <v>279</v>
      </c>
      <c r="G106" s="243" t="s">
        <v>159</v>
      </c>
      <c r="H106" s="145">
        <v>3</v>
      </c>
      <c r="I106" s="145" t="s">
        <v>173</v>
      </c>
    </row>
    <row r="107" spans="1:9" ht="15" x14ac:dyDescent="0.25">
      <c r="A107" s="242" t="str">
        <f t="shared" si="3"/>
        <v>Paluch Pawel</v>
      </c>
      <c r="B107" s="242">
        <v>31681</v>
      </c>
      <c r="C107" s="243" t="s">
        <v>310</v>
      </c>
      <c r="D107" s="243" t="s">
        <v>474</v>
      </c>
      <c r="E107" s="243" t="s">
        <v>274</v>
      </c>
      <c r="F107" s="243" t="s">
        <v>252</v>
      </c>
      <c r="G107" s="243" t="s">
        <v>160</v>
      </c>
      <c r="H107" s="145">
        <v>5</v>
      </c>
      <c r="I107" s="145" t="s">
        <v>173</v>
      </c>
    </row>
    <row r="108" spans="1:9" ht="15" x14ac:dyDescent="0.25">
      <c r="A108" s="242" t="str">
        <f t="shared" si="3"/>
        <v>Pietrzak Paulina</v>
      </c>
      <c r="B108" s="242">
        <v>60669</v>
      </c>
      <c r="C108" s="243" t="s">
        <v>403</v>
      </c>
      <c r="D108" s="243" t="s">
        <v>404</v>
      </c>
      <c r="E108" s="243" t="s">
        <v>279</v>
      </c>
      <c r="F108" s="243" t="s">
        <v>279</v>
      </c>
      <c r="G108" s="243" t="s">
        <v>158</v>
      </c>
      <c r="H108" s="145">
        <v>3</v>
      </c>
      <c r="I108" s="145" t="s">
        <v>173</v>
      </c>
    </row>
    <row r="109" spans="1:9" ht="15" x14ac:dyDescent="0.25">
      <c r="A109" s="242" t="str">
        <f t="shared" si="3"/>
        <v>Poborski Rafal</v>
      </c>
      <c r="B109" s="242">
        <v>66132</v>
      </c>
      <c r="C109" s="243" t="s">
        <v>218</v>
      </c>
      <c r="D109" s="243" t="s">
        <v>319</v>
      </c>
      <c r="E109" s="243" t="s">
        <v>320</v>
      </c>
      <c r="F109" s="243" t="s">
        <v>321</v>
      </c>
      <c r="G109" s="243" t="s">
        <v>175</v>
      </c>
      <c r="H109" s="145">
        <v>8</v>
      </c>
      <c r="I109" s="145" t="s">
        <v>174</v>
      </c>
    </row>
    <row r="110" spans="1:9" ht="15" x14ac:dyDescent="0.25">
      <c r="A110" s="242" t="str">
        <f t="shared" si="3"/>
        <v>Podraza Jowita</v>
      </c>
      <c r="B110" s="242">
        <v>32043</v>
      </c>
      <c r="C110" s="243" t="s">
        <v>386</v>
      </c>
      <c r="D110" s="243" t="s">
        <v>387</v>
      </c>
      <c r="E110" s="243" t="s">
        <v>252</v>
      </c>
      <c r="F110" s="243" t="s">
        <v>252</v>
      </c>
      <c r="G110" s="243" t="s">
        <v>158</v>
      </c>
      <c r="H110" s="145">
        <v>5</v>
      </c>
      <c r="I110" s="145" t="s">
        <v>173</v>
      </c>
    </row>
    <row r="111" spans="1:9" ht="15" x14ac:dyDescent="0.25">
      <c r="A111" s="242" t="str">
        <f t="shared" si="3"/>
        <v>Porowska Magdalena</v>
      </c>
      <c r="B111" s="242">
        <v>48935</v>
      </c>
      <c r="C111" s="243" t="s">
        <v>381</v>
      </c>
      <c r="D111" s="243" t="s">
        <v>396</v>
      </c>
      <c r="E111" s="243" t="s">
        <v>252</v>
      </c>
      <c r="F111" s="243" t="s">
        <v>252</v>
      </c>
      <c r="G111" s="243" t="s">
        <v>158</v>
      </c>
      <c r="H111" s="145">
        <v>4</v>
      </c>
      <c r="I111" s="145" t="s">
        <v>174</v>
      </c>
    </row>
    <row r="112" spans="1:9" ht="15" x14ac:dyDescent="0.25">
      <c r="A112" s="242" t="str">
        <f t="shared" si="3"/>
        <v>Potoczny Andrzej</v>
      </c>
      <c r="B112" s="242">
        <v>38025</v>
      </c>
      <c r="C112" s="243" t="s">
        <v>280</v>
      </c>
      <c r="D112" s="243" t="s">
        <v>299</v>
      </c>
      <c r="E112" s="243" t="s">
        <v>300</v>
      </c>
      <c r="F112" s="243" t="s">
        <v>300</v>
      </c>
      <c r="G112" s="243" t="s">
        <v>153</v>
      </c>
      <c r="H112" s="145">
        <v>6</v>
      </c>
      <c r="I112" s="145" t="s">
        <v>173</v>
      </c>
    </row>
    <row r="113" spans="1:9" ht="15" x14ac:dyDescent="0.25">
      <c r="A113" s="242" t="str">
        <f t="shared" si="3"/>
        <v>Prochaczek Michal</v>
      </c>
      <c r="B113" s="242">
        <v>32499</v>
      </c>
      <c r="C113" s="243" t="s">
        <v>239</v>
      </c>
      <c r="D113" s="243" t="s">
        <v>448</v>
      </c>
      <c r="E113" s="243" t="s">
        <v>274</v>
      </c>
      <c r="F113" s="243" t="s">
        <v>274</v>
      </c>
      <c r="G113" s="243" t="s">
        <v>154</v>
      </c>
      <c r="H113" s="145">
        <v>6</v>
      </c>
      <c r="I113" s="145" t="s">
        <v>173</v>
      </c>
    </row>
    <row r="114" spans="1:9" ht="15" x14ac:dyDescent="0.25">
      <c r="A114" s="242" t="str">
        <f t="shared" si="3"/>
        <v>Przybylski Krzysztof</v>
      </c>
      <c r="B114" s="242">
        <v>46709</v>
      </c>
      <c r="C114" s="243" t="s">
        <v>450</v>
      </c>
      <c r="D114" s="243" t="s">
        <v>451</v>
      </c>
      <c r="E114" s="243" t="s">
        <v>274</v>
      </c>
      <c r="F114" s="243" t="s">
        <v>274</v>
      </c>
      <c r="G114" s="243" t="s">
        <v>154</v>
      </c>
      <c r="H114" s="145">
        <v>5</v>
      </c>
      <c r="I114" s="145" t="s">
        <v>174</v>
      </c>
    </row>
    <row r="115" spans="1:9" ht="15" x14ac:dyDescent="0.25">
      <c r="A115" s="242" t="str">
        <f t="shared" si="3"/>
        <v>Puchala Tomasz</v>
      </c>
      <c r="B115" s="242">
        <v>58547</v>
      </c>
      <c r="C115" s="243" t="s">
        <v>275</v>
      </c>
      <c r="D115" s="243" t="s">
        <v>400</v>
      </c>
      <c r="E115" s="243" t="s">
        <v>279</v>
      </c>
      <c r="F115" s="243" t="s">
        <v>279</v>
      </c>
      <c r="G115" s="243" t="s">
        <v>158</v>
      </c>
      <c r="H115" s="145">
        <v>4</v>
      </c>
      <c r="I115" s="145" t="s">
        <v>173</v>
      </c>
    </row>
    <row r="116" spans="1:9" ht="15" x14ac:dyDescent="0.25">
      <c r="A116" s="242" t="str">
        <f t="shared" si="3"/>
        <v>Radzieta Dorota</v>
      </c>
      <c r="B116" s="242">
        <v>42611</v>
      </c>
      <c r="C116" s="243" t="s">
        <v>420</v>
      </c>
      <c r="D116" s="243" t="s">
        <v>421</v>
      </c>
      <c r="E116" s="243" t="s">
        <v>252</v>
      </c>
      <c r="F116" s="243" t="s">
        <v>252</v>
      </c>
      <c r="G116" s="243" t="s">
        <v>188</v>
      </c>
      <c r="H116" s="145">
        <v>4</v>
      </c>
      <c r="I116" s="145" t="s">
        <v>173</v>
      </c>
    </row>
    <row r="117" spans="1:9" ht="15" x14ac:dyDescent="0.25">
      <c r="A117" s="242" t="str">
        <f t="shared" si="3"/>
        <v>Rakowski Lukasz</v>
      </c>
      <c r="B117" s="242">
        <v>22640</v>
      </c>
      <c r="C117" s="243" t="s">
        <v>283</v>
      </c>
      <c r="D117" s="243" t="s">
        <v>375</v>
      </c>
      <c r="E117" s="243" t="s">
        <v>320</v>
      </c>
      <c r="F117" s="243" t="s">
        <v>376</v>
      </c>
      <c r="G117" s="243" t="s">
        <v>158</v>
      </c>
      <c r="H117" s="145">
        <v>8</v>
      </c>
      <c r="I117" s="145" t="s">
        <v>174</v>
      </c>
    </row>
    <row r="118" spans="1:9" ht="15" x14ac:dyDescent="0.25">
      <c r="A118" s="242" t="str">
        <f t="shared" si="3"/>
        <v>Rogowski Maksymilian</v>
      </c>
      <c r="B118" s="242">
        <v>56163</v>
      </c>
      <c r="C118" s="243" t="s">
        <v>335</v>
      </c>
      <c r="D118" s="243" t="s">
        <v>336</v>
      </c>
      <c r="E118" s="243" t="s">
        <v>244</v>
      </c>
      <c r="F118" s="243" t="s">
        <v>337</v>
      </c>
      <c r="G118" s="243" t="s">
        <v>175</v>
      </c>
      <c r="H118" s="145">
        <v>3</v>
      </c>
      <c r="I118" s="145" t="s">
        <v>174</v>
      </c>
    </row>
    <row r="119" spans="1:9" ht="15" x14ac:dyDescent="0.25">
      <c r="A119" s="242" t="str">
        <f t="shared" si="3"/>
        <v>Rybus Tomek</v>
      </c>
      <c r="B119" s="242">
        <v>27790</v>
      </c>
      <c r="C119" s="243" t="s">
        <v>460</v>
      </c>
      <c r="D119" s="243" t="s">
        <v>461</v>
      </c>
      <c r="E119" s="243" t="s">
        <v>459</v>
      </c>
      <c r="F119" s="243" t="s">
        <v>459</v>
      </c>
      <c r="G119" s="243" t="s">
        <v>154</v>
      </c>
      <c r="H119" s="145">
        <v>3</v>
      </c>
      <c r="I119" s="145" t="s">
        <v>174</v>
      </c>
    </row>
    <row r="120" spans="1:9" ht="15" x14ac:dyDescent="0.25">
      <c r="A120" s="242" t="str">
        <f t="shared" si="3"/>
        <v>Rymar Barbara</v>
      </c>
      <c r="B120" s="242">
        <v>61232</v>
      </c>
      <c r="C120" s="243" t="s">
        <v>467</v>
      </c>
      <c r="D120" s="243" t="s">
        <v>468</v>
      </c>
      <c r="E120" s="243" t="s">
        <v>279</v>
      </c>
      <c r="F120" s="243" t="s">
        <v>279</v>
      </c>
      <c r="G120" s="243" t="s">
        <v>154</v>
      </c>
      <c r="H120" s="145">
        <v>3</v>
      </c>
      <c r="I120" s="145" t="s">
        <v>173</v>
      </c>
    </row>
    <row r="121" spans="1:9" ht="15" x14ac:dyDescent="0.25">
      <c r="A121" s="242" t="str">
        <f t="shared" si="3"/>
        <v>Schielmann Piotr</v>
      </c>
      <c r="B121" s="242">
        <v>46569</v>
      </c>
      <c r="C121" s="243" t="s">
        <v>236</v>
      </c>
      <c r="D121" s="243" t="s">
        <v>363</v>
      </c>
      <c r="E121" s="243" t="s">
        <v>326</v>
      </c>
      <c r="F121" s="243" t="s">
        <v>326</v>
      </c>
      <c r="G121" s="243" t="s">
        <v>178</v>
      </c>
      <c r="H121" s="145">
        <v>6</v>
      </c>
      <c r="I121" s="145" t="s">
        <v>174</v>
      </c>
    </row>
    <row r="122" spans="1:9" ht="15" x14ac:dyDescent="0.25">
      <c r="A122" s="242" t="str">
        <f t="shared" si="3"/>
        <v>Sendrowicz Beata</v>
      </c>
      <c r="B122" s="242">
        <v>18971</v>
      </c>
      <c r="C122" s="243" t="s">
        <v>227</v>
      </c>
      <c r="D122" s="243" t="s">
        <v>418</v>
      </c>
      <c r="E122" s="243" t="s">
        <v>216</v>
      </c>
      <c r="F122" s="243" t="s">
        <v>216</v>
      </c>
      <c r="G122" s="243" t="s">
        <v>188</v>
      </c>
      <c r="H122" s="145">
        <v>7</v>
      </c>
      <c r="I122" s="145" t="s">
        <v>173</v>
      </c>
    </row>
    <row r="123" spans="1:9" ht="15" x14ac:dyDescent="0.25">
      <c r="A123" s="242" t="str">
        <f t="shared" si="3"/>
        <v>Serafinska Urszula</v>
      </c>
      <c r="B123" s="242">
        <v>44064</v>
      </c>
      <c r="C123" s="243" t="s">
        <v>322</v>
      </c>
      <c r="D123" s="243" t="s">
        <v>323</v>
      </c>
      <c r="E123" s="243" t="s">
        <v>324</v>
      </c>
      <c r="F123" s="243" t="s">
        <v>324</v>
      </c>
      <c r="G123" s="243" t="s">
        <v>175</v>
      </c>
      <c r="H123" s="145">
        <v>6</v>
      </c>
      <c r="I123" s="145" t="s">
        <v>174</v>
      </c>
    </row>
    <row r="124" spans="1:9" ht="15" x14ac:dyDescent="0.25">
      <c r="A124" s="242" t="str">
        <f t="shared" si="3"/>
        <v>Skorupa Marek</v>
      </c>
      <c r="B124" s="242">
        <v>27428</v>
      </c>
      <c r="C124" s="243" t="s">
        <v>296</v>
      </c>
      <c r="D124" s="243" t="s">
        <v>378</v>
      </c>
      <c r="E124" s="243" t="s">
        <v>274</v>
      </c>
      <c r="F124" s="243" t="s">
        <v>252</v>
      </c>
      <c r="G124" s="243" t="s">
        <v>158</v>
      </c>
      <c r="H124" s="145">
        <v>6</v>
      </c>
      <c r="I124" s="145" t="s">
        <v>174</v>
      </c>
    </row>
    <row r="125" spans="1:9" ht="15" x14ac:dyDescent="0.25">
      <c r="A125" s="242" t="str">
        <f t="shared" si="3"/>
        <v>Skruszeniec Mariusz</v>
      </c>
      <c r="B125" s="242">
        <v>30312</v>
      </c>
      <c r="C125" s="243" t="s">
        <v>338</v>
      </c>
      <c r="D125" s="243" t="s">
        <v>431</v>
      </c>
      <c r="E125" s="243" t="s">
        <v>274</v>
      </c>
      <c r="F125" s="243" t="s">
        <v>274</v>
      </c>
      <c r="G125" s="243" t="s">
        <v>179</v>
      </c>
      <c r="H125" s="145">
        <v>6</v>
      </c>
      <c r="I125" s="145" t="s">
        <v>174</v>
      </c>
    </row>
    <row r="126" spans="1:9" ht="15" x14ac:dyDescent="0.25">
      <c r="A126" s="242" t="str">
        <f t="shared" si="3"/>
        <v>Skwarek Anna</v>
      </c>
      <c r="B126" s="242">
        <v>55484</v>
      </c>
      <c r="C126" s="243" t="s">
        <v>277</v>
      </c>
      <c r="D126" s="243" t="s">
        <v>278</v>
      </c>
      <c r="E126" s="243" t="s">
        <v>279</v>
      </c>
      <c r="F126" s="243" t="s">
        <v>279</v>
      </c>
      <c r="G126" s="243" t="s">
        <v>159</v>
      </c>
      <c r="H126" s="145">
        <v>4</v>
      </c>
      <c r="I126" s="145" t="s">
        <v>173</v>
      </c>
    </row>
    <row r="127" spans="1:9" ht="15" x14ac:dyDescent="0.25">
      <c r="A127" s="242" t="str">
        <f t="shared" si="3"/>
        <v>Soluch Artur</v>
      </c>
      <c r="B127" s="242">
        <v>26396</v>
      </c>
      <c r="C127" s="243" t="s">
        <v>256</v>
      </c>
      <c r="D127" s="243" t="s">
        <v>441</v>
      </c>
      <c r="E127" s="243" t="s">
        <v>320</v>
      </c>
      <c r="F127" s="243" t="s">
        <v>442</v>
      </c>
      <c r="G127" s="243" t="s">
        <v>154</v>
      </c>
      <c r="H127" s="145">
        <v>8</v>
      </c>
      <c r="I127" s="145" t="s">
        <v>174</v>
      </c>
    </row>
    <row r="128" spans="1:9" ht="15" x14ac:dyDescent="0.25">
      <c r="A128" s="242" t="str">
        <f t="shared" si="3"/>
        <v>Stawiany Patryk</v>
      </c>
      <c r="B128" s="242">
        <v>66027</v>
      </c>
      <c r="C128" s="243" t="s">
        <v>317</v>
      </c>
      <c r="D128" s="243" t="s">
        <v>318</v>
      </c>
      <c r="E128" s="243" t="s">
        <v>279</v>
      </c>
      <c r="F128" s="243" t="s">
        <v>279</v>
      </c>
      <c r="G128" s="243" t="s">
        <v>153</v>
      </c>
      <c r="H128" s="145">
        <v>2</v>
      </c>
      <c r="I128" s="145" t="s">
        <v>174</v>
      </c>
    </row>
    <row r="129" spans="1:9" ht="15" x14ac:dyDescent="0.25">
      <c r="A129" s="242" t="str">
        <f t="shared" si="3"/>
        <v>Surus Arkadiusz</v>
      </c>
      <c r="B129" s="242">
        <v>34138</v>
      </c>
      <c r="C129" s="243" t="s">
        <v>437</v>
      </c>
      <c r="D129" s="243" t="s">
        <v>438</v>
      </c>
      <c r="E129" s="243" t="s">
        <v>252</v>
      </c>
      <c r="F129" s="243" t="s">
        <v>252</v>
      </c>
      <c r="G129" s="243" t="s">
        <v>179</v>
      </c>
      <c r="H129" s="145">
        <v>4</v>
      </c>
      <c r="I129" s="145" t="s">
        <v>174</v>
      </c>
    </row>
    <row r="130" spans="1:9" ht="15" x14ac:dyDescent="0.25">
      <c r="A130" s="242" t="str">
        <f t="shared" ref="A130:A153" si="4">D130&amp;" "&amp;C130</f>
        <v>Szafarczyk Sebastian</v>
      </c>
      <c r="B130" s="242">
        <v>24956</v>
      </c>
      <c r="C130" s="243" t="s">
        <v>250</v>
      </c>
      <c r="D130" s="243" t="s">
        <v>443</v>
      </c>
      <c r="E130" s="243" t="s">
        <v>216</v>
      </c>
      <c r="F130" s="243" t="s">
        <v>444</v>
      </c>
      <c r="G130" s="243" t="s">
        <v>154</v>
      </c>
      <c r="H130" s="145">
        <v>7</v>
      </c>
      <c r="I130" s="145" t="s">
        <v>174</v>
      </c>
    </row>
    <row r="131" spans="1:9" ht="15" x14ac:dyDescent="0.25">
      <c r="A131" s="242" t="str">
        <f t="shared" si="4"/>
        <v>Szarow Emilian</v>
      </c>
      <c r="B131" s="242">
        <v>35630</v>
      </c>
      <c r="C131" s="243" t="s">
        <v>453</v>
      </c>
      <c r="D131" s="243" t="s">
        <v>454</v>
      </c>
      <c r="E131" s="243" t="s">
        <v>252</v>
      </c>
      <c r="F131" s="243" t="s">
        <v>252</v>
      </c>
      <c r="G131" s="243" t="s">
        <v>154</v>
      </c>
      <c r="H131" s="145">
        <v>5</v>
      </c>
      <c r="I131" s="145" t="s">
        <v>174</v>
      </c>
    </row>
    <row r="132" spans="1:9" ht="15" x14ac:dyDescent="0.25">
      <c r="A132" s="242" t="str">
        <f t="shared" si="4"/>
        <v>Szatan Anna</v>
      </c>
      <c r="B132" s="242">
        <v>45703</v>
      </c>
      <c r="C132" s="243" t="s">
        <v>277</v>
      </c>
      <c r="D132" s="243" t="s">
        <v>475</v>
      </c>
      <c r="E132" s="243" t="s">
        <v>252</v>
      </c>
      <c r="F132" s="243" t="s">
        <v>252</v>
      </c>
      <c r="G132" s="243" t="s">
        <v>160</v>
      </c>
      <c r="H132" s="145">
        <v>4</v>
      </c>
      <c r="I132" s="145" t="s">
        <v>173</v>
      </c>
    </row>
    <row r="133" spans="1:9" ht="15" x14ac:dyDescent="0.25">
      <c r="A133" s="242" t="str">
        <f t="shared" si="4"/>
        <v>Szczepara Anna</v>
      </c>
      <c r="B133" s="242">
        <v>63271</v>
      </c>
      <c r="C133" s="243" t="s">
        <v>277</v>
      </c>
      <c r="D133" s="243" t="s">
        <v>429</v>
      </c>
      <c r="E133" s="243" t="s">
        <v>279</v>
      </c>
      <c r="F133" s="243" t="s">
        <v>279</v>
      </c>
      <c r="G133" s="243" t="s">
        <v>188</v>
      </c>
      <c r="H133" s="145">
        <v>2</v>
      </c>
      <c r="I133" s="145" t="s">
        <v>173</v>
      </c>
    </row>
    <row r="134" spans="1:9" ht="15" x14ac:dyDescent="0.25">
      <c r="A134" s="242" t="str">
        <f t="shared" si="4"/>
        <v>Szczesna Julia</v>
      </c>
      <c r="B134" s="242">
        <v>58843</v>
      </c>
      <c r="C134" s="243" t="s">
        <v>408</v>
      </c>
      <c r="D134" s="243" t="s">
        <v>409</v>
      </c>
      <c r="E134" s="243" t="s">
        <v>285</v>
      </c>
      <c r="F134" s="243" t="s">
        <v>285</v>
      </c>
      <c r="G134" s="243" t="s">
        <v>158</v>
      </c>
      <c r="H134" s="145">
        <v>2</v>
      </c>
      <c r="I134" s="145" t="s">
        <v>174</v>
      </c>
    </row>
    <row r="135" spans="1:9" ht="15" x14ac:dyDescent="0.25">
      <c r="A135" s="242" t="str">
        <f t="shared" si="4"/>
        <v>Szewczuk Justyna</v>
      </c>
      <c r="B135" s="242">
        <v>57650</v>
      </c>
      <c r="C135" s="243" t="s">
        <v>253</v>
      </c>
      <c r="D135" s="243" t="s">
        <v>259</v>
      </c>
      <c r="E135" s="243" t="s">
        <v>244</v>
      </c>
      <c r="F135" s="243" t="s">
        <v>244</v>
      </c>
      <c r="G135" s="243" t="s">
        <v>172</v>
      </c>
      <c r="H135" s="145">
        <v>4</v>
      </c>
      <c r="I135" s="145" t="s">
        <v>174</v>
      </c>
    </row>
    <row r="136" spans="1:9" ht="15" x14ac:dyDescent="0.25">
      <c r="A136" s="242" t="str">
        <f t="shared" si="4"/>
        <v>Szymanski Dariusz</v>
      </c>
      <c r="B136" s="242">
        <v>35187</v>
      </c>
      <c r="C136" s="243" t="s">
        <v>304</v>
      </c>
      <c r="D136" s="243" t="s">
        <v>305</v>
      </c>
      <c r="E136" s="243" t="s">
        <v>252</v>
      </c>
      <c r="F136" s="243" t="s">
        <v>252</v>
      </c>
      <c r="G136" s="243" t="s">
        <v>153</v>
      </c>
      <c r="H136" s="145">
        <v>5</v>
      </c>
      <c r="I136" s="145" t="s">
        <v>174</v>
      </c>
    </row>
    <row r="137" spans="1:9" ht="15" x14ac:dyDescent="0.25">
      <c r="A137" s="242" t="str">
        <f t="shared" si="4"/>
        <v>Szymczak Robert</v>
      </c>
      <c r="B137" s="242">
        <v>67752</v>
      </c>
      <c r="C137" s="243" t="s">
        <v>427</v>
      </c>
      <c r="D137" s="243" t="s">
        <v>428</v>
      </c>
      <c r="E137" s="243" t="s">
        <v>232</v>
      </c>
      <c r="F137" s="243" t="s">
        <v>232</v>
      </c>
      <c r="G137" s="243" t="s">
        <v>188</v>
      </c>
      <c r="H137" s="145">
        <v>3</v>
      </c>
      <c r="I137" s="145" t="s">
        <v>174</v>
      </c>
    </row>
    <row r="138" spans="1:9" ht="15" x14ac:dyDescent="0.25">
      <c r="A138" s="242" t="str">
        <f t="shared" si="4"/>
        <v>Tatys Karolina</v>
      </c>
      <c r="B138" s="242">
        <v>63459</v>
      </c>
      <c r="C138" s="243" t="s">
        <v>224</v>
      </c>
      <c r="D138" s="243" t="s">
        <v>225</v>
      </c>
      <c r="E138" s="243" t="s">
        <v>226</v>
      </c>
      <c r="F138" s="243" t="s">
        <v>226</v>
      </c>
      <c r="G138" s="243" t="s">
        <v>172</v>
      </c>
      <c r="H138" s="145">
        <v>6</v>
      </c>
      <c r="I138" s="145" t="s">
        <v>174</v>
      </c>
    </row>
    <row r="139" spans="1:9" ht="15" x14ac:dyDescent="0.25">
      <c r="A139" s="242" t="str">
        <f t="shared" si="4"/>
        <v>Tomaszewska Magdalena</v>
      </c>
      <c r="B139" s="242">
        <v>29654</v>
      </c>
      <c r="C139" s="243" t="s">
        <v>381</v>
      </c>
      <c r="D139" s="243" t="s">
        <v>382</v>
      </c>
      <c r="E139" s="243" t="s">
        <v>274</v>
      </c>
      <c r="F139" s="243" t="s">
        <v>380</v>
      </c>
      <c r="G139" s="243" t="s">
        <v>158</v>
      </c>
      <c r="H139" s="145">
        <v>5</v>
      </c>
      <c r="I139" s="145" t="s">
        <v>174</v>
      </c>
    </row>
    <row r="140" spans="1:9" ht="15" x14ac:dyDescent="0.25">
      <c r="A140" s="242" t="str">
        <f t="shared" si="4"/>
        <v>Torba Monika</v>
      </c>
      <c r="B140" s="242">
        <v>58969</v>
      </c>
      <c r="C140" s="243" t="s">
        <v>268</v>
      </c>
      <c r="D140" s="243" t="s">
        <v>269</v>
      </c>
      <c r="E140" s="243" t="s">
        <v>266</v>
      </c>
      <c r="F140" s="243" t="s">
        <v>266</v>
      </c>
      <c r="G140" s="243" t="s">
        <v>172</v>
      </c>
      <c r="H140" s="145">
        <v>2</v>
      </c>
      <c r="I140" s="145" t="s">
        <v>173</v>
      </c>
    </row>
    <row r="141" spans="1:9" ht="15" x14ac:dyDescent="0.25">
      <c r="A141" s="242" t="str">
        <f t="shared" si="4"/>
        <v>Tusinski Zygmunt</v>
      </c>
      <c r="B141" s="242">
        <v>55210</v>
      </c>
      <c r="C141" s="243" t="s">
        <v>272</v>
      </c>
      <c r="D141" s="243" t="s">
        <v>273</v>
      </c>
      <c r="E141" s="243" t="s">
        <v>274</v>
      </c>
      <c r="F141" s="243" t="s">
        <v>274</v>
      </c>
      <c r="G141" s="243" t="s">
        <v>159</v>
      </c>
      <c r="H141" s="145">
        <v>6</v>
      </c>
      <c r="I141" s="145" t="s">
        <v>173</v>
      </c>
    </row>
    <row r="142" spans="1:9" ht="15" x14ac:dyDescent="0.25">
      <c r="A142" s="242" t="str">
        <f t="shared" si="4"/>
        <v>Waledziak Przemyslaw</v>
      </c>
      <c r="B142" s="242">
        <v>54715</v>
      </c>
      <c r="C142" s="243" t="s">
        <v>371</v>
      </c>
      <c r="D142" s="243" t="s">
        <v>372</v>
      </c>
      <c r="E142" s="243" t="s">
        <v>244</v>
      </c>
      <c r="F142" s="243" t="s">
        <v>373</v>
      </c>
      <c r="G142" s="243" t="s">
        <v>178</v>
      </c>
      <c r="H142" s="145">
        <v>3</v>
      </c>
      <c r="I142" s="145" t="s">
        <v>174</v>
      </c>
    </row>
    <row r="143" spans="1:9" ht="15" x14ac:dyDescent="0.25">
      <c r="A143" s="242" t="str">
        <f t="shared" si="4"/>
        <v>Wandzel Lukasz</v>
      </c>
      <c r="B143" s="242">
        <v>55628</v>
      </c>
      <c r="C143" s="243" t="s">
        <v>283</v>
      </c>
      <c r="D143" s="243" t="s">
        <v>354</v>
      </c>
      <c r="E143" s="243" t="s">
        <v>274</v>
      </c>
      <c r="F143" s="243" t="s">
        <v>274</v>
      </c>
      <c r="G143" s="243" t="s">
        <v>177</v>
      </c>
      <c r="H143" s="145">
        <v>5</v>
      </c>
      <c r="I143" s="145" t="s">
        <v>174</v>
      </c>
    </row>
    <row r="144" spans="1:9" ht="15" x14ac:dyDescent="0.25">
      <c r="A144" s="242" t="str">
        <f t="shared" si="4"/>
        <v>Witek Jaroslaw</v>
      </c>
      <c r="B144" s="242">
        <v>36265</v>
      </c>
      <c r="C144" s="243" t="s">
        <v>344</v>
      </c>
      <c r="D144" s="243" t="s">
        <v>377</v>
      </c>
      <c r="E144" s="243" t="s">
        <v>216</v>
      </c>
      <c r="F144" s="243" t="s">
        <v>216</v>
      </c>
      <c r="G144" s="243" t="s">
        <v>158</v>
      </c>
      <c r="H144" s="145">
        <v>7</v>
      </c>
      <c r="I144" s="145" t="s">
        <v>174</v>
      </c>
    </row>
    <row r="145" spans="1:9" ht="15" x14ac:dyDescent="0.25">
      <c r="A145" s="242" t="str">
        <f t="shared" si="4"/>
        <v>Witkowski Michal</v>
      </c>
      <c r="B145" s="242">
        <v>53136</v>
      </c>
      <c r="C145" s="243" t="s">
        <v>239</v>
      </c>
      <c r="D145" s="243" t="s">
        <v>240</v>
      </c>
      <c r="E145" s="243" t="s">
        <v>241</v>
      </c>
      <c r="F145" s="243" t="s">
        <v>241</v>
      </c>
      <c r="G145" s="243" t="s">
        <v>172</v>
      </c>
      <c r="H145" s="145">
        <v>4</v>
      </c>
      <c r="I145" s="145" t="s">
        <v>174</v>
      </c>
    </row>
    <row r="146" spans="1:9" ht="15" x14ac:dyDescent="0.25">
      <c r="A146" s="242" t="str">
        <f t="shared" si="4"/>
        <v>Wlecial Maciej</v>
      </c>
      <c r="B146" s="242">
        <v>54632</v>
      </c>
      <c r="C146" s="243" t="s">
        <v>347</v>
      </c>
      <c r="D146" s="243" t="s">
        <v>430</v>
      </c>
      <c r="E146" s="243" t="s">
        <v>380</v>
      </c>
      <c r="F146" s="243" t="s">
        <v>380</v>
      </c>
      <c r="G146" s="243" t="s">
        <v>179</v>
      </c>
      <c r="H146" s="145">
        <v>6</v>
      </c>
      <c r="I146" s="145" t="s">
        <v>173</v>
      </c>
    </row>
    <row r="147" spans="1:9" ht="15" x14ac:dyDescent="0.25">
      <c r="A147" s="242" t="str">
        <f t="shared" si="4"/>
        <v>Wojcik Tomasz</v>
      </c>
      <c r="B147" s="242">
        <v>37403</v>
      </c>
      <c r="C147" s="243" t="s">
        <v>275</v>
      </c>
      <c r="D147" s="243" t="s">
        <v>303</v>
      </c>
      <c r="E147" s="243" t="s">
        <v>274</v>
      </c>
      <c r="F147" s="243" t="s">
        <v>300</v>
      </c>
      <c r="G147" s="243" t="s">
        <v>153</v>
      </c>
      <c r="H147" s="145">
        <v>5</v>
      </c>
      <c r="I147" s="145" t="s">
        <v>174</v>
      </c>
    </row>
    <row r="148" spans="1:9" ht="15" x14ac:dyDescent="0.25">
      <c r="A148" s="242" t="str">
        <f t="shared" si="4"/>
        <v>Woldan Sebastian</v>
      </c>
      <c r="B148" s="242">
        <v>48904</v>
      </c>
      <c r="C148" s="243" t="s">
        <v>250</v>
      </c>
      <c r="D148" s="243" t="s">
        <v>308</v>
      </c>
      <c r="E148" s="243" t="s">
        <v>252</v>
      </c>
      <c r="F148" s="243" t="s">
        <v>294</v>
      </c>
      <c r="G148" s="243" t="s">
        <v>153</v>
      </c>
      <c r="H148" s="145">
        <v>4</v>
      </c>
      <c r="I148" s="145" t="s">
        <v>174</v>
      </c>
    </row>
    <row r="149" spans="1:9" ht="15" x14ac:dyDescent="0.25">
      <c r="A149" s="242" t="str">
        <f t="shared" si="4"/>
        <v>Wyrzykowska Justyna</v>
      </c>
      <c r="B149" s="242">
        <v>31086</v>
      </c>
      <c r="C149" s="243" t="s">
        <v>253</v>
      </c>
      <c r="D149" s="243" t="s">
        <v>254</v>
      </c>
      <c r="E149" s="243" t="s">
        <v>255</v>
      </c>
      <c r="F149" s="243" t="s">
        <v>255</v>
      </c>
      <c r="G149" s="243" t="s">
        <v>172</v>
      </c>
      <c r="H149" s="145">
        <v>4</v>
      </c>
      <c r="I149" s="145" t="s">
        <v>174</v>
      </c>
    </row>
    <row r="150" spans="1:9" ht="15" x14ac:dyDescent="0.25">
      <c r="A150" s="242" t="str">
        <f t="shared" si="4"/>
        <v>Zablocka Karina</v>
      </c>
      <c r="B150" s="242">
        <v>63272</v>
      </c>
      <c r="C150" s="243" t="s">
        <v>349</v>
      </c>
      <c r="D150" s="243" t="s">
        <v>350</v>
      </c>
      <c r="E150" s="243" t="s">
        <v>285</v>
      </c>
      <c r="F150" s="243" t="s">
        <v>285</v>
      </c>
      <c r="G150" s="243" t="s">
        <v>176</v>
      </c>
      <c r="H150" s="145">
        <v>3</v>
      </c>
      <c r="I150" s="145" t="s">
        <v>174</v>
      </c>
    </row>
    <row r="151" spans="1:9" ht="15" x14ac:dyDescent="0.25">
      <c r="A151" s="242" t="str">
        <f t="shared" si="4"/>
        <v>Zalewski Jacek</v>
      </c>
      <c r="B151" s="242">
        <v>25192</v>
      </c>
      <c r="C151" s="243" t="s">
        <v>432</v>
      </c>
      <c r="D151" s="243" t="s">
        <v>472</v>
      </c>
      <c r="E151" s="243" t="s">
        <v>320</v>
      </c>
      <c r="F151" s="243" t="s">
        <v>332</v>
      </c>
      <c r="G151" s="243" t="s">
        <v>160</v>
      </c>
      <c r="H151" s="145">
        <v>8</v>
      </c>
      <c r="I151" s="145" t="s">
        <v>173</v>
      </c>
    </row>
    <row r="152" spans="1:9" ht="15" x14ac:dyDescent="0.25">
      <c r="A152" s="242" t="str">
        <f t="shared" si="4"/>
        <v>Zieba Sylwia</v>
      </c>
      <c r="B152" s="242">
        <v>66204</v>
      </c>
      <c r="C152" s="243" t="s">
        <v>412</v>
      </c>
      <c r="D152" s="243" t="s">
        <v>469</v>
      </c>
      <c r="E152" s="243" t="s">
        <v>285</v>
      </c>
      <c r="F152" s="243" t="s">
        <v>279</v>
      </c>
      <c r="G152" s="243" t="s">
        <v>154</v>
      </c>
      <c r="H152" s="145">
        <v>2</v>
      </c>
      <c r="I152" s="145" t="s">
        <v>173</v>
      </c>
    </row>
    <row r="153" spans="1:9" ht="15" x14ac:dyDescent="0.25">
      <c r="A153" s="242" t="str">
        <f t="shared" si="4"/>
        <v>Zieniuk Pawel</v>
      </c>
      <c r="B153" s="242">
        <v>46912</v>
      </c>
      <c r="C153" s="243" t="s">
        <v>310</v>
      </c>
      <c r="D153" s="243" t="s">
        <v>440</v>
      </c>
      <c r="E153" s="243" t="s">
        <v>279</v>
      </c>
      <c r="F153" s="243" t="s">
        <v>279</v>
      </c>
      <c r="G153" s="243" t="s">
        <v>179</v>
      </c>
      <c r="H153" s="145">
        <v>4</v>
      </c>
      <c r="I153" s="145" t="s">
        <v>174</v>
      </c>
    </row>
  </sheetData>
  <protectedRanges>
    <protectedRange sqref="H1 A1:D153 E1:G153" name="Range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14"/>
  <sheetViews>
    <sheetView workbookViewId="0">
      <selection activeCell="D5" sqref="D5"/>
    </sheetView>
  </sheetViews>
  <sheetFormatPr defaultRowHeight="12.75" x14ac:dyDescent="0.2"/>
  <cols>
    <col min="1" max="1" width="40.85546875" style="162" customWidth="1"/>
    <col min="2" max="2" width="18.42578125" style="162" customWidth="1"/>
    <col min="3" max="16384" width="9.140625" style="162"/>
  </cols>
  <sheetData>
    <row r="1" spans="1:4" x14ac:dyDescent="0.2">
      <c r="A1" s="162" t="s">
        <v>169</v>
      </c>
      <c r="B1" s="162" t="s">
        <v>170</v>
      </c>
      <c r="C1" s="163" t="s">
        <v>171</v>
      </c>
      <c r="D1" s="162" t="s">
        <v>487</v>
      </c>
    </row>
    <row r="2" spans="1:4" ht="15" x14ac:dyDescent="0.25">
      <c r="A2" s="164" t="s">
        <v>172</v>
      </c>
      <c r="B2" s="162">
        <v>1</v>
      </c>
      <c r="C2" s="163" t="s">
        <v>173</v>
      </c>
      <c r="D2" s="162" t="s">
        <v>488</v>
      </c>
    </row>
    <row r="3" spans="1:4" ht="15" x14ac:dyDescent="0.25">
      <c r="A3" s="164" t="s">
        <v>159</v>
      </c>
      <c r="B3" s="162">
        <v>2</v>
      </c>
      <c r="C3" s="163" t="s">
        <v>174</v>
      </c>
      <c r="D3" s="162" t="s">
        <v>489</v>
      </c>
    </row>
    <row r="4" spans="1:4" ht="15" x14ac:dyDescent="0.25">
      <c r="A4" s="164" t="s">
        <v>153</v>
      </c>
      <c r="B4" s="162">
        <v>3</v>
      </c>
      <c r="C4" s="162" t="s">
        <v>486</v>
      </c>
      <c r="D4" s="162" t="s">
        <v>490</v>
      </c>
    </row>
    <row r="5" spans="1:4" ht="15" x14ac:dyDescent="0.25">
      <c r="A5" s="164" t="s">
        <v>175</v>
      </c>
      <c r="B5" s="162">
        <v>4</v>
      </c>
    </row>
    <row r="6" spans="1:4" ht="15" x14ac:dyDescent="0.25">
      <c r="A6" s="164" t="s">
        <v>176</v>
      </c>
      <c r="B6" s="162">
        <v>5</v>
      </c>
    </row>
    <row r="7" spans="1:4" ht="15" x14ac:dyDescent="0.25">
      <c r="A7" s="164" t="s">
        <v>177</v>
      </c>
      <c r="B7" s="162">
        <v>6</v>
      </c>
    </row>
    <row r="8" spans="1:4" ht="15" x14ac:dyDescent="0.25">
      <c r="A8" s="164" t="s">
        <v>178</v>
      </c>
      <c r="B8" s="162">
        <v>7</v>
      </c>
    </row>
    <row r="9" spans="1:4" ht="15" x14ac:dyDescent="0.25">
      <c r="A9" s="164" t="s">
        <v>158</v>
      </c>
      <c r="B9" s="162">
        <v>8</v>
      </c>
    </row>
    <row r="10" spans="1:4" ht="15" x14ac:dyDescent="0.25">
      <c r="A10" s="164" t="s">
        <v>188</v>
      </c>
      <c r="B10" s="162">
        <v>9</v>
      </c>
    </row>
    <row r="11" spans="1:4" ht="15" x14ac:dyDescent="0.25">
      <c r="A11" s="164" t="s">
        <v>179</v>
      </c>
    </row>
    <row r="12" spans="1:4" ht="15" x14ac:dyDescent="0.25">
      <c r="A12" s="164" t="s">
        <v>154</v>
      </c>
    </row>
    <row r="13" spans="1:4" ht="15" x14ac:dyDescent="0.25">
      <c r="A13" s="164" t="s">
        <v>160</v>
      </c>
    </row>
    <row r="14" spans="1:4" x14ac:dyDescent="0.2">
      <c r="A14" s="162" t="s">
        <v>95</v>
      </c>
    </row>
  </sheetData>
  <protectedRanges>
    <protectedRange sqref="A2:A13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Forecast</vt:lpstr>
      <vt:lpstr>Days</vt:lpstr>
      <vt:lpstr>Expenses</vt:lpstr>
      <vt:lpstr>Calculation</vt:lpstr>
      <vt:lpstr>Resource</vt:lpstr>
      <vt:lpstr>Picklists</vt:lpstr>
      <vt:lpstr>Cashflow Graph</vt:lpstr>
      <vt:lpstr>Expenses!Print_Area</vt:lpstr>
      <vt:lpstr>Forecast!Print_Area</vt:lpstr>
    </vt:vector>
  </TitlesOfParts>
  <Company>Ove 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 duszczyk</dc:creator>
  <cp:lastModifiedBy>Wojciech Drozd</cp:lastModifiedBy>
  <cp:lastPrinted>2010-12-12T20:37:20Z</cp:lastPrinted>
  <dcterms:created xsi:type="dcterms:W3CDTF">2008-06-16T08:05:33Z</dcterms:created>
  <dcterms:modified xsi:type="dcterms:W3CDTF">2018-08-14T08:13:34Z</dcterms:modified>
</cp:coreProperties>
</file>